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bhishek.J\Downloads\"/>
    </mc:Choice>
  </mc:AlternateContent>
  <xr:revisionPtr revIDLastSave="0" documentId="13_ncr:1_{EDB1B76A-1646-4390-BDD1-56BA84474F1D}" xr6:coauthVersionLast="47" xr6:coauthVersionMax="47" xr10:uidLastSave="{00000000-0000-0000-0000-000000000000}"/>
  <bookViews>
    <workbookView xWindow="-110" yWindow="-110" windowWidth="19420" windowHeight="11500" firstSheet="1" activeTab="1" xr2:uid="{B3502215-D8E3-46CE-B6B2-011462C6C09B}"/>
  </bookViews>
  <sheets>
    <sheet name="Mapping Sheet" sheetId="2" state="hidden" r:id="rId1"/>
    <sheet name="Semantic Mesh" sheetId="4" r:id="rId2"/>
  </sheets>
  <definedNames>
    <definedName name="_xlnm._FilterDatabase" localSheetId="0" hidden="1">'Mapping Sheet'!$A$1:$AE$167</definedName>
    <definedName name="_xlnm._FilterDatabase" localSheetId="1" hidden="1">'Semantic Mesh'!$A$1:$AM$615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44" i="4" l="1"/>
  <c r="AB236" i="4"/>
  <c r="AB354" i="4"/>
  <c r="AB221" i="4"/>
  <c r="AD202" i="4"/>
  <c r="AB202" i="4"/>
  <c r="AB204" i="4"/>
  <c r="AB203" i="4"/>
  <c r="AB172" i="4"/>
  <c r="AB170" i="4"/>
  <c r="AH108" i="4"/>
  <c r="AF108" i="4"/>
  <c r="AD108" i="4"/>
  <c r="AB108" i="4"/>
  <c r="AB128" i="4"/>
  <c r="AB127" i="4"/>
  <c r="AB126" i="4"/>
  <c r="AB125" i="4"/>
  <c r="AB124" i="4"/>
  <c r="AB107" i="4"/>
  <c r="AB100" i="4"/>
  <c r="AB94" i="4"/>
  <c r="AB93" i="4"/>
  <c r="AB25" i="4"/>
  <c r="E439" i="4"/>
  <c r="E438" i="4"/>
  <c r="E437" i="4"/>
  <c r="AB410" i="4"/>
  <c r="H354" i="4"/>
  <c r="N344" i="4"/>
  <c r="L344" i="4"/>
  <c r="J344" i="4"/>
  <c r="H344" i="4"/>
  <c r="F348" i="4"/>
  <c r="F347" i="4"/>
  <c r="F346" i="4"/>
  <c r="F345" i="4"/>
  <c r="G337" i="4"/>
  <c r="G344" i="4"/>
  <c r="E348" i="4"/>
  <c r="G336" i="4"/>
  <c r="E347" i="4"/>
  <c r="E346" i="4"/>
  <c r="E345" i="4"/>
  <c r="E344" i="4"/>
  <c r="G341" i="4"/>
  <c r="F341" i="4"/>
  <c r="F337" i="4"/>
  <c r="E336" i="4"/>
  <c r="E333" i="4"/>
  <c r="AB332" i="4"/>
  <c r="T332" i="4"/>
  <c r="R332" i="4"/>
  <c r="H332" i="4"/>
  <c r="E332" i="4"/>
  <c r="F325" i="4"/>
  <c r="E355" i="4"/>
  <c r="E354" i="4"/>
  <c r="AB319" i="4"/>
  <c r="E357" i="4"/>
  <c r="T319" i="4"/>
  <c r="R319" i="4"/>
  <c r="F358" i="4"/>
  <c r="G325" i="4"/>
  <c r="E358" i="4"/>
  <c r="E325" i="4"/>
  <c r="G321" i="4"/>
  <c r="G320" i="4"/>
  <c r="F320" i="4"/>
  <c r="E321" i="4"/>
  <c r="F319" i="4"/>
  <c r="E319" i="4"/>
  <c r="E455" i="4"/>
  <c r="E454" i="4"/>
  <c r="G455" i="4"/>
  <c r="G454" i="4"/>
  <c r="G453" i="4"/>
  <c r="F453" i="4"/>
  <c r="E453" i="4"/>
  <c r="E452" i="4"/>
  <c r="E451" i="4"/>
  <c r="G466" i="4"/>
  <c r="F466" i="4"/>
  <c r="E466" i="4"/>
  <c r="AD399" i="4"/>
  <c r="AB399" i="4"/>
  <c r="G470" i="4"/>
  <c r="G469" i="4"/>
  <c r="J399" i="4"/>
  <c r="F469" i="4"/>
  <c r="H399" i="4"/>
  <c r="E470" i="4"/>
  <c r="E469" i="4"/>
  <c r="E468" i="4"/>
  <c r="G401" i="4"/>
  <c r="G400" i="4"/>
  <c r="G399" i="4"/>
  <c r="E467" i="4"/>
  <c r="F399" i="4"/>
  <c r="G477" i="4"/>
  <c r="E401" i="4"/>
  <c r="F477" i="4"/>
  <c r="E400" i="4"/>
  <c r="E477" i="4"/>
  <c r="E399" i="4"/>
  <c r="G480" i="4"/>
  <c r="E480" i="4"/>
  <c r="E479" i="4"/>
  <c r="E478" i="4"/>
  <c r="G487" i="4"/>
  <c r="F487" i="4"/>
  <c r="E487" i="4"/>
  <c r="E449" i="4"/>
  <c r="AD436" i="4"/>
  <c r="AB436" i="4"/>
  <c r="R436" i="4"/>
  <c r="L436" i="4"/>
  <c r="J436" i="4"/>
  <c r="G491" i="4"/>
  <c r="H436" i="4"/>
  <c r="F491" i="4"/>
  <c r="G490" i="4"/>
  <c r="G444" i="4"/>
  <c r="E491" i="4"/>
  <c r="E490" i="4"/>
  <c r="F444" i="4"/>
  <c r="E489" i="4"/>
  <c r="E488" i="4"/>
  <c r="E444" i="4"/>
  <c r="G498" i="4"/>
  <c r="F498" i="4"/>
  <c r="E498" i="4"/>
  <c r="G439" i="4"/>
  <c r="G438" i="4"/>
  <c r="G510" i="4"/>
  <c r="G437" i="4"/>
  <c r="F510" i="4"/>
  <c r="E510" i="4"/>
  <c r="G502" i="4"/>
  <c r="E436" i="4"/>
  <c r="G501" i="4"/>
  <c r="F501" i="4"/>
  <c r="G499" i="4"/>
  <c r="E502" i="4"/>
  <c r="E501" i="4"/>
  <c r="E500" i="4"/>
  <c r="E499" i="4"/>
  <c r="AJ413" i="4"/>
  <c r="AH413" i="4"/>
  <c r="AF413" i="4"/>
  <c r="AD413" i="4"/>
  <c r="AB413" i="4"/>
  <c r="R413" i="4"/>
  <c r="P413" i="4"/>
  <c r="N413" i="4"/>
  <c r="L413" i="4"/>
  <c r="J413" i="4"/>
  <c r="G513" i="4"/>
  <c r="H413" i="4"/>
  <c r="F513" i="4"/>
  <c r="E513" i="4"/>
  <c r="E512" i="4"/>
  <c r="G418" i="4"/>
  <c r="E511" i="4"/>
  <c r="G415" i="4"/>
  <c r="G414" i="4"/>
  <c r="G520" i="4"/>
  <c r="G413" i="4"/>
  <c r="F520" i="4"/>
  <c r="E520" i="4"/>
  <c r="F415" i="4"/>
  <c r="E418" i="4"/>
  <c r="E417" i="4"/>
  <c r="E416" i="4"/>
  <c r="E415" i="4"/>
  <c r="G523" i="4"/>
  <c r="E414" i="4"/>
  <c r="F521" i="4"/>
  <c r="E413" i="4"/>
  <c r="E524" i="4"/>
  <c r="E523" i="4"/>
  <c r="E522" i="4"/>
  <c r="E521" i="4"/>
  <c r="G531" i="4"/>
  <c r="F531" i="4"/>
  <c r="E531" i="4"/>
  <c r="G393" i="4"/>
  <c r="G392" i="4"/>
  <c r="G391" i="4"/>
  <c r="F391" i="4"/>
  <c r="AB382" i="4"/>
  <c r="J382" i="4"/>
  <c r="G535" i="4"/>
  <c r="H382" i="4"/>
  <c r="G534" i="4"/>
  <c r="F534" i="4"/>
  <c r="E535" i="4"/>
  <c r="E534" i="4"/>
  <c r="E533" i="4"/>
  <c r="G384" i="4"/>
  <c r="E532" i="4"/>
  <c r="G383" i="4"/>
  <c r="G382" i="4"/>
  <c r="G542" i="4"/>
  <c r="F542" i="4"/>
  <c r="E542" i="4"/>
  <c r="F384" i="4"/>
  <c r="F383" i="4"/>
  <c r="F382" i="4"/>
  <c r="E384" i="4"/>
  <c r="E383" i="4"/>
  <c r="E382" i="4"/>
  <c r="G546" i="4"/>
  <c r="E546" i="4"/>
  <c r="G545" i="4"/>
  <c r="F546" i="4"/>
  <c r="F545" i="4"/>
  <c r="E545" i="4"/>
  <c r="E544" i="4"/>
  <c r="F380" i="4"/>
  <c r="F379" i="4"/>
  <c r="E379" i="4"/>
  <c r="G380" i="4"/>
  <c r="G379" i="4"/>
  <c r="E380" i="4"/>
  <c r="E543" i="4"/>
  <c r="G553" i="4"/>
  <c r="F553" i="4"/>
  <c r="E553" i="4"/>
  <c r="AD370" i="4"/>
  <c r="AB370" i="4"/>
  <c r="G561" i="4"/>
  <c r="F561" i="4"/>
  <c r="E561" i="4"/>
  <c r="G556" i="4"/>
  <c r="E556" i="4"/>
  <c r="E555" i="4"/>
  <c r="E554" i="4"/>
  <c r="G565" i="4"/>
  <c r="T370" i="4"/>
  <c r="R370" i="4"/>
  <c r="G563" i="4"/>
  <c r="G562" i="4"/>
  <c r="H370" i="4"/>
  <c r="G375" i="4"/>
  <c r="G374" i="4"/>
  <c r="F375" i="4"/>
  <c r="F374" i="4"/>
  <c r="E565" i="4"/>
  <c r="E375" i="4"/>
  <c r="E564" i="4"/>
  <c r="E374" i="4"/>
  <c r="E563" i="4"/>
  <c r="F370" i="4"/>
  <c r="E371" i="4"/>
  <c r="E370" i="4"/>
  <c r="E562" i="4"/>
  <c r="AB186" i="4"/>
  <c r="G571" i="4"/>
  <c r="AB360" i="4"/>
  <c r="F571" i="4"/>
  <c r="AB193" i="4"/>
  <c r="E571" i="4"/>
  <c r="AF201" i="4"/>
  <c r="G581" i="4"/>
  <c r="R360" i="4"/>
  <c r="F581" i="4"/>
  <c r="E194" i="4"/>
  <c r="E581" i="4"/>
  <c r="J360" i="4"/>
  <c r="H360" i="4"/>
  <c r="F194" i="4"/>
  <c r="F575" i="4"/>
  <c r="G574" i="4"/>
  <c r="E575" i="4"/>
  <c r="E186" i="4"/>
  <c r="E574" i="4"/>
  <c r="E573" i="4"/>
  <c r="E572" i="4"/>
  <c r="G584" i="4"/>
  <c r="F584" i="4"/>
  <c r="F186" i="4"/>
  <c r="E584" i="4"/>
  <c r="E583" i="4"/>
  <c r="E582" i="4"/>
  <c r="G308" i="4"/>
  <c r="G307" i="4"/>
  <c r="G309" i="4"/>
  <c r="E309" i="4"/>
  <c r="F308" i="4"/>
  <c r="E308" i="4"/>
  <c r="E307" i="4"/>
  <c r="F307" i="4"/>
  <c r="AB306" i="4"/>
  <c r="T306" i="4"/>
  <c r="R306" i="4"/>
  <c r="G306" i="4"/>
  <c r="E306" i="4"/>
  <c r="F306" i="4"/>
  <c r="AB294" i="4"/>
  <c r="G297" i="4"/>
  <c r="E297" i="4"/>
  <c r="E296" i="4"/>
  <c r="F296" i="4"/>
  <c r="E295" i="4"/>
  <c r="F295" i="4"/>
  <c r="T294" i="4"/>
  <c r="R294" i="4"/>
  <c r="G294" i="4"/>
  <c r="E294" i="4"/>
  <c r="F294" i="4"/>
  <c r="E291" i="4"/>
  <c r="G291" i="4"/>
  <c r="AB290" i="4"/>
  <c r="E290" i="4"/>
  <c r="G590" i="4"/>
  <c r="F590" i="4"/>
  <c r="E590" i="4"/>
  <c r="X276" i="4"/>
  <c r="V276" i="4"/>
  <c r="T276" i="4"/>
  <c r="R276" i="4"/>
  <c r="G282" i="4"/>
  <c r="G278" i="4"/>
  <c r="F278" i="4"/>
  <c r="E278" i="4"/>
  <c r="G277" i="4"/>
  <c r="F277" i="4"/>
  <c r="E277" i="4"/>
  <c r="J276" i="4"/>
  <c r="H276" i="4"/>
  <c r="G276" i="4"/>
  <c r="E276" i="4"/>
  <c r="G595" i="4"/>
  <c r="F595" i="4"/>
  <c r="E595" i="4"/>
  <c r="G594" i="4"/>
  <c r="E594" i="4"/>
  <c r="G593" i="4"/>
  <c r="E593" i="4"/>
  <c r="E592" i="4"/>
  <c r="E591" i="4"/>
  <c r="G605" i="4"/>
  <c r="F605" i="4"/>
  <c r="E605" i="4"/>
  <c r="G604" i="4"/>
  <c r="F604" i="4"/>
  <c r="E604" i="4"/>
  <c r="G603" i="4"/>
  <c r="F205" i="4"/>
  <c r="E205" i="4"/>
  <c r="G204" i="4"/>
  <c r="E204" i="4"/>
  <c r="G203" i="4"/>
  <c r="E203" i="4"/>
  <c r="G202" i="4"/>
  <c r="F202" i="4"/>
  <c r="E202" i="4"/>
  <c r="AD201" i="4"/>
  <c r="AB201" i="4"/>
  <c r="R201" i="4"/>
  <c r="L201" i="4"/>
  <c r="J201" i="4"/>
  <c r="H201" i="4"/>
  <c r="G201" i="4"/>
  <c r="F201" i="4"/>
  <c r="E201" i="4"/>
  <c r="G193" i="4"/>
  <c r="F193" i="4"/>
  <c r="E193" i="4"/>
  <c r="F185" i="4"/>
  <c r="E185" i="4"/>
  <c r="E260" i="4"/>
  <c r="F260" i="4"/>
  <c r="E259" i="4"/>
  <c r="E258" i="4"/>
  <c r="E257" i="4"/>
  <c r="E174" i="4"/>
  <c r="E256" i="4"/>
  <c r="G173" i="4"/>
  <c r="F173" i="4"/>
  <c r="F256" i="4"/>
  <c r="AH255" i="4"/>
  <c r="AF255" i="4"/>
  <c r="AD255" i="4"/>
  <c r="AB255" i="4"/>
  <c r="H255" i="4"/>
  <c r="F255" i="4"/>
  <c r="E255" i="4"/>
  <c r="G245" i="4"/>
  <c r="E245" i="4"/>
  <c r="G243" i="4"/>
  <c r="E243" i="4"/>
  <c r="E173" i="4"/>
  <c r="G244" i="4"/>
  <c r="G172" i="4"/>
  <c r="F244" i="4"/>
  <c r="E172" i="4"/>
  <c r="E244" i="4"/>
  <c r="G171" i="4"/>
  <c r="V234" i="4"/>
  <c r="F171" i="4"/>
  <c r="E171" i="4"/>
  <c r="G170" i="4"/>
  <c r="F170" i="4"/>
  <c r="F236" i="4"/>
  <c r="E236" i="4"/>
  <c r="G235" i="4"/>
  <c r="E170" i="4"/>
  <c r="AB169" i="4"/>
  <c r="R169" i="4"/>
  <c r="J169" i="4"/>
  <c r="H169" i="4"/>
  <c r="F235" i="4"/>
  <c r="E235" i="4"/>
  <c r="E169" i="4"/>
  <c r="G222" i="4"/>
  <c r="E222" i="4"/>
  <c r="AD234" i="4"/>
  <c r="AB234" i="4"/>
  <c r="G165" i="4"/>
  <c r="E165" i="4"/>
  <c r="T234" i="4"/>
  <c r="R234" i="4"/>
  <c r="AB164" i="4"/>
  <c r="E164" i="4"/>
  <c r="E234" i="4"/>
  <c r="F234" i="4"/>
  <c r="G221" i="4"/>
  <c r="AB153" i="4"/>
  <c r="AB152" i="4"/>
  <c r="F221" i="4"/>
  <c r="AB151" i="4"/>
  <c r="AB150" i="4"/>
  <c r="E220" i="4"/>
  <c r="F220" i="4"/>
  <c r="AH149" i="4"/>
  <c r="AF149" i="4"/>
  <c r="AD149" i="4"/>
  <c r="G219" i="4"/>
  <c r="AB149" i="4"/>
  <c r="F219" i="4"/>
  <c r="E219" i="4"/>
  <c r="AB218" i="4"/>
  <c r="X149" i="4"/>
  <c r="V149" i="4"/>
  <c r="R218" i="4"/>
  <c r="T149" i="4"/>
  <c r="J218" i="4"/>
  <c r="H218" i="4"/>
  <c r="R149" i="4"/>
  <c r="F218" i="4"/>
  <c r="E218" i="4"/>
  <c r="F149" i="4"/>
  <c r="F128" i="4"/>
  <c r="E128" i="4"/>
  <c r="E149" i="4"/>
  <c r="F127" i="4"/>
  <c r="E127" i="4"/>
  <c r="F126" i="4"/>
  <c r="E126" i="4"/>
  <c r="G148" i="4"/>
  <c r="F148" i="4"/>
  <c r="Z123" i="4"/>
  <c r="X123" i="4"/>
  <c r="E148" i="4"/>
  <c r="F125" i="4"/>
  <c r="E125" i="4"/>
  <c r="F124" i="4"/>
  <c r="E124" i="4"/>
  <c r="V123" i="4"/>
  <c r="T123" i="4"/>
  <c r="R123" i="4"/>
  <c r="F123" i="4"/>
  <c r="J147" i="4"/>
  <c r="H147" i="4"/>
  <c r="E123" i="4"/>
  <c r="E147" i="4"/>
  <c r="E109" i="4"/>
  <c r="F108" i="4"/>
  <c r="E108" i="4"/>
  <c r="F603" i="4"/>
  <c r="AB76" i="4"/>
  <c r="R105" i="4"/>
  <c r="G107" i="4"/>
  <c r="F107" i="4"/>
  <c r="E107" i="4"/>
  <c r="E603" i="4"/>
  <c r="AB105" i="4"/>
  <c r="H105" i="4"/>
  <c r="F106" i="4"/>
  <c r="E106" i="4"/>
  <c r="E602" i="4"/>
  <c r="E105" i="4"/>
  <c r="J93" i="4"/>
  <c r="AF602" i="4"/>
  <c r="AD602" i="4"/>
  <c r="AB602" i="4"/>
  <c r="F97" i="4"/>
  <c r="E97" i="4"/>
  <c r="G83" i="4"/>
  <c r="G94" i="4"/>
  <c r="F94" i="4"/>
  <c r="E94" i="4"/>
  <c r="H93" i="4"/>
  <c r="F93" i="4"/>
  <c r="E93" i="4"/>
  <c r="F84" i="4"/>
  <c r="F88" i="4"/>
  <c r="G88" i="4"/>
  <c r="J76" i="4"/>
  <c r="H76" i="4"/>
  <c r="E88" i="4"/>
  <c r="G84" i="4"/>
  <c r="E84" i="4"/>
  <c r="E78" i="4"/>
  <c r="E83" i="4"/>
  <c r="F78" i="4"/>
  <c r="E77" i="4"/>
  <c r="E76" i="4"/>
  <c r="F76" i="4"/>
  <c r="E54" i="4"/>
  <c r="E49" i="4"/>
  <c r="E51" i="4"/>
  <c r="E50" i="4"/>
  <c r="F49" i="4"/>
  <c r="F39" i="4"/>
  <c r="E39" i="4"/>
  <c r="F38" i="4"/>
  <c r="E38" i="4"/>
  <c r="F34" i="4"/>
  <c r="E34" i="4"/>
  <c r="F29" i="4"/>
  <c r="E27" i="4"/>
  <c r="F6" i="4"/>
  <c r="E4" i="4"/>
  <c r="F100" i="4"/>
  <c r="E100" i="4"/>
  <c r="E96" i="2"/>
  <c r="F96" i="2"/>
  <c r="L18" i="2"/>
  <c r="J18" i="2"/>
  <c r="E83" i="2"/>
  <c r="E79" i="2"/>
  <c r="F45" i="2"/>
  <c r="F30" i="2"/>
  <c r="N73" i="2"/>
  <c r="H72" i="2"/>
  <c r="T96" i="2"/>
  <c r="T89" i="2"/>
  <c r="T90" i="2"/>
  <c r="G93" i="2"/>
  <c r="F93" i="2"/>
  <c r="T72" i="2"/>
  <c r="G78" i="2"/>
  <c r="F78" i="2"/>
  <c r="E78" i="2"/>
  <c r="F74" i="2"/>
  <c r="E74" i="2"/>
  <c r="F72" i="2"/>
  <c r="E72" i="2"/>
  <c r="F28" i="2"/>
  <c r="F24" i="2"/>
  <c r="E24" i="2"/>
  <c r="E28" i="2"/>
  <c r="F42" i="2"/>
  <c r="T18" i="2"/>
  <c r="H18" i="2"/>
</calcChain>
</file>

<file path=xl/sharedStrings.xml><?xml version="1.0" encoding="utf-8"?>
<sst xmlns="http://schemas.openxmlformats.org/spreadsheetml/2006/main" count="4259" uniqueCount="1314">
  <si>
    <t>Element Id</t>
  </si>
  <si>
    <t>Page</t>
  </si>
  <si>
    <t>Element Type</t>
  </si>
  <si>
    <t>Extracted Content</t>
  </si>
  <si>
    <t>Reference</t>
  </si>
  <si>
    <t>Footnotes</t>
  </si>
  <si>
    <t>Glossary</t>
  </si>
  <si>
    <t>Supporting Claim 1</t>
  </si>
  <si>
    <t>SC1-relationship</t>
  </si>
  <si>
    <t>Supporting Claim 2</t>
  </si>
  <si>
    <t>SC2-relationship</t>
  </si>
  <si>
    <t>Supporting Claim 3</t>
  </si>
  <si>
    <t>SC3-relationship</t>
  </si>
  <si>
    <t>Supporting Text1</t>
  </si>
  <si>
    <t>ST1-relationship</t>
  </si>
  <si>
    <t>Supporting Text2</t>
  </si>
  <si>
    <t>ST2-relationship</t>
  </si>
  <si>
    <t>Supporting Text3</t>
  </si>
  <si>
    <t>ST3-relationship</t>
  </si>
  <si>
    <t>Component 1</t>
  </si>
  <si>
    <t>C1-relationship</t>
  </si>
  <si>
    <t>Component 2</t>
  </si>
  <si>
    <t>C2-relationship</t>
  </si>
  <si>
    <t>Component 3</t>
  </si>
  <si>
    <t>C3-relationship</t>
  </si>
  <si>
    <t>Component 4</t>
  </si>
  <si>
    <t>C4-relationship</t>
  </si>
  <si>
    <t>Component 5</t>
  </si>
  <si>
    <t>C5-relationship</t>
  </si>
  <si>
    <t>PM_ID</t>
  </si>
  <si>
    <t>Primary_Message (ES)</t>
  </si>
  <si>
    <t>RT-001</t>
  </si>
  <si>
    <t>Reusable Text / Supporting text</t>
  </si>
  <si>
    <t>BIKTARVY® is indicated for the treatment of human immunodeficiency virus-1 (HIV-1) infection in adults and paediatric patients at least 2 years of age and weighing at least</t>
  </si>
  <si>
    <t>Ref-002</t>
  </si>
  <si>
    <t>Comp-001</t>
  </si>
  <si>
    <t>Component</t>
  </si>
  <si>
    <t>Pink BIKTARVY tablet placed on a red line</t>
  </si>
  <si>
    <t>Comp-002</t>
  </si>
  <si>
    <t xml:space="preserve">Gilead company logo </t>
  </si>
  <si>
    <t>Comp-003</t>
  </si>
  <si>
    <t xml:space="preserve">BIKTARVY brand logo </t>
  </si>
  <si>
    <t>Comp-004</t>
  </si>
  <si>
    <t xml:space="preserve">Home icon </t>
  </si>
  <si>
    <t>Comp-005</t>
  </si>
  <si>
    <t xml:space="preserve">Treatment/medicine icon </t>
  </si>
  <si>
    <t>Comp-006</t>
  </si>
  <si>
    <t xml:space="preserve">Patient/person icon </t>
  </si>
  <si>
    <t>Comp-007</t>
  </si>
  <si>
    <t>Patient profile/group icoon</t>
  </si>
  <si>
    <t>Comp-008</t>
  </si>
  <si>
    <t xml:space="preserve">Insight/light-bulb icon </t>
  </si>
  <si>
    <t>Comp-009</t>
  </si>
  <si>
    <t>Continuous line illustration of a cyclist</t>
  </si>
  <si>
    <t xml:space="preserve">
BIKTARVY® (BIC/FTC/TAF) (30/120/15 mg) Summary of Product characteristics</t>
  </si>
  <si>
    <t>Gs-001</t>
  </si>
  <si>
    <t>BIC, bictegravir; FTC, emtricitabine; TAF, tenofovir alafenamide fumarate</t>
  </si>
  <si>
    <t>Comp-010</t>
  </si>
  <si>
    <t>A couple walking together holding hands</t>
  </si>
  <si>
    <t>RT-002</t>
  </si>
  <si>
    <t>What do you look for when selecting a treatment for long-term success?</t>
  </si>
  <si>
    <t>Optional</t>
  </si>
  <si>
    <t>RT-003</t>
  </si>
  <si>
    <t>Different people, different realities...</t>
  </si>
  <si>
    <t>Comp-011</t>
  </si>
  <si>
    <t>Mandatory</t>
  </si>
  <si>
    <t>Three different people representing diverse individuals</t>
  </si>
  <si>
    <t>Cl-001</t>
  </si>
  <si>
    <t>Claim</t>
  </si>
  <si>
    <t>BIKTARVY®: For today, tomorrow and the days to come</t>
  </si>
  <si>
    <t>PM1</t>
  </si>
  <si>
    <t>BIKTARVY® is designed for long-term HIV treatment and management</t>
  </si>
  <si>
    <t>Comp-012</t>
  </si>
  <si>
    <t>Caregiver carrying a child</t>
  </si>
  <si>
    <t>Cl-002</t>
  </si>
  <si>
    <t>Forgiving when life happens, and doses are unintentionally missed</t>
  </si>
  <si>
    <t>Ref-001</t>
  </si>
  <si>
    <t>Fn-001</t>
  </si>
  <si>
    <t>Andreatta K, et al. Infectious Diseases (ID) Week 2023; 11–15 October; Boston, MA</t>
  </si>
  <si>
    <t>Footnote</t>
  </si>
  <si>
    <t>At Week 48 (primary endpoint) in pooled data from treatment-naïve participants: efficacy was 91% for BIKTARVY® (n=634) vs 93% (ABC/3TC/DTG [n=315]) in Study 1489
(95% CI: –2.1 [–5.9 to 1.6]) and 93% (FTC/TAF + DTG [n=325]) in Study 1490 (95% CI: –1.9 [–5.6 to 1.8]).1 Efficacy defined as viral load &lt;50 copies/mL.1 In a pooled analysis of both
studies in participants initially randomised to BIKTARVY® (n=634), efficacy was 98.6% (M=E) at Week 240 with 0 treatment-emergent resistance in the final resistance analysis
population.2 At Week 240, M=F efficacy was 67.2%.2</t>
  </si>
  <si>
    <t>Fn-002</t>
  </si>
  <si>
    <t>Forgiveness is defined as the ability of a given regimen to achieve and maintain virological suppression despite imperfect adherence</t>
  </si>
  <si>
    <t>Cl-003</t>
  </si>
  <si>
    <t>Well-tolerated and easy to manage with ≤1% discontinuation</t>
  </si>
  <si>
    <t>Ref-003</t>
  </si>
  <si>
    <t>Sax PE, et al. eClinicalMedicine. 2023; 59: 101991.
Brar I, et al. Infectious Diseases (ID) Week 2020, 21–25 October. Poster 1028.</t>
  </si>
  <si>
    <t>Fn-003</t>
  </si>
  <si>
    <t>Small STR once a day without food restrictions. Each BIKTARVY® tablet is approximately 15 mm x 8 mm.
In clinical studies of treatment-naïve participants receiving BIKTARVY® through 144 weeks, the most frequently reported adverse reactions were headache (5%), diarrhoea (5%) and nausea (4%). At Week 240, &lt;1% (n=5/634) discontinuation due to TRAEs was observed in participants initially randomised to BIKTARVY®. In clinical studies in virologically suppressed participants, &lt;1% (n=7/547, n=4/534) of participants discontinued treatment with BIKTARVY® due to adverse events through the open-label extension phase of either study.</t>
  </si>
  <si>
    <t>Fn-004</t>
  </si>
  <si>
    <t>If the patient misses a dose of BIKTARVY® within 18 hours of the time it is usually taken, the patient should take BIKTARVY® as soon as possible and resume the normal dosing schedule</t>
  </si>
  <si>
    <t>Cl-004</t>
  </si>
  <si>
    <t>BIKTARVY® is one tablet to be taken once daily</t>
  </si>
  <si>
    <t>Fn-005</t>
  </si>
  <si>
    <t>If the patient misses a dose of BIKTARVY® within 18 hours of the time it is usually taken, the patient should take BIKTARVY® as soon as possible and resume the normal dosing schedule.</t>
  </si>
  <si>
    <t>Cl-005</t>
  </si>
  <si>
    <t>Robust and durable efficacy through 5 years with 0 treatment-emergent resistance</t>
  </si>
  <si>
    <t>Ref-004, Ref-005</t>
  </si>
  <si>
    <t>Gs-002, Gs-003</t>
  </si>
  <si>
    <t>Ref-004</t>
  </si>
  <si>
    <t xml:space="preserve">BIKTARVY® (BIC/FTC/TAF) Summary of Product Characteristics
</t>
  </si>
  <si>
    <t>Ref-005</t>
  </si>
  <si>
    <t xml:space="preserve">Sax PE, et al. eClinical Medicine. 2023; 59: 101991 </t>
  </si>
  <si>
    <t>Ref-006</t>
  </si>
  <si>
    <t>BIKTARVY® (BIC/FTC/TAF) Summary of Product Characteristics</t>
  </si>
  <si>
    <t>Ref-007</t>
  </si>
  <si>
    <t>Andreatta K, et al. Infectious Diseases (ID) Week 2023, 11–15 October; Boston, MA</t>
  </si>
  <si>
    <t>Ref-008</t>
  </si>
  <si>
    <t>Brar I, et al. Infectious Diseases (ID) Week 2020, 21–25 October. Poster 1028</t>
  </si>
  <si>
    <t>Ref-009</t>
  </si>
  <si>
    <t>Rockstroh JK, et al. HIV Glasgow 2020, 5–8 October; Glasgow, UK. Poster 036</t>
  </si>
  <si>
    <t>Gs-002</t>
  </si>
  <si>
    <t>3TC, lamivudine; ABC, abacavir; BIC, bictegravir; CI, confidence interval; DTG, dolutegravir; FTC, emtricitabine; M=E, missing=excluded; M=F, missing=failure</t>
  </si>
  <si>
    <t>Gs-003</t>
  </si>
  <si>
    <t>STR, single-tablet regimen; TAF, tenofovir alafenamide fumarate; TN, treatment-naïve; TRAE, treatment-related adverse event; VS, virologically suppressed</t>
  </si>
  <si>
    <t>Ref-010</t>
  </si>
  <si>
    <t>Shuter J, et al. J Antimicrob Chemother. 2008; 61: 769–773</t>
  </si>
  <si>
    <t>Gs-004</t>
  </si>
  <si>
    <t>Gs-005</t>
  </si>
  <si>
    <t>Cl-006</t>
  </si>
  <si>
    <t>BIKTARVY®: robust and durable efficacy through 5 years with 0 treatment-emergent resistance 1,2</t>
  </si>
  <si>
    <t>Ref-014, Ref-024</t>
  </si>
  <si>
    <t>PM2</t>
  </si>
  <si>
    <t>BIKTARVY® shows sustained efficacy over five years without treatment-emergent resistance</t>
  </si>
  <si>
    <t>Cl-007</t>
  </si>
  <si>
    <t>A guideline-recommended regimen to start and stay for the majority of your patients</t>
  </si>
  <si>
    <t>Ref-010, Ref-011, Ref-012</t>
  </si>
  <si>
    <t>Cl-008</t>
  </si>
  <si>
    <t>Supporting claim</t>
  </si>
  <si>
    <t>Guideline-recommended for rapid start, with robust efficacy from Day 1</t>
  </si>
  <si>
    <t>Ref-006, Ref-007, Ref-008, Ref-009, Ref-010, Ref-011, Ref-012, Ref-013, Ref-014</t>
  </si>
  <si>
    <t>Cl-009</t>
  </si>
  <si>
    <t>Cl-010</t>
  </si>
  <si>
    <t>0 treatment-emergent resistance demonstrated in: Pivotal Phase 3 trials Real-world BICSTaR study Diverse populations</t>
  </si>
  <si>
    <t>Ref-014, Ref-015, Ref-016, Ref-017, Ref-018, Ref-019, Ref-020, Ref-021, Ref-022, Ref-023</t>
  </si>
  <si>
    <t>Fn-006</t>
  </si>
  <si>
    <t>At Week 48 (primary endpoint) in pooled data from treatment-naïve participants: efficacy was 91% for BIKTARVY® (n=634) vs 93% (ABC/3TC/DTG [n=315]) in Study 1489 (95% CI: −2.1 [−5.9 to 1.6]) and 93% (FTC/TAF + DTG [n=325]) in Study 1490 (95% CI: −1.9 [−5.6 to 1.8])</t>
  </si>
  <si>
    <t>Fn-007</t>
  </si>
  <si>
    <t>Efficacy defined as viral load &lt;50 copies/mL</t>
  </si>
  <si>
    <t>Fn-008</t>
  </si>
  <si>
    <t>In a pooled analysis of both studies in participants initially randomised to BIKTARVY® (n=634), efficacy was 98.6% (M=E) at Week 240 with 0 treatment-emergent resistance in the final resistance analysis population</t>
  </si>
  <si>
    <t>Fn-009</t>
  </si>
  <si>
    <t>Ref-011</t>
  </si>
  <si>
    <t>Hidalgo-Tenorio C, et al. European AIDS Conference (EACS) 2023, 18–21 October; Warsaw, Poland. Poster eP.A.098</t>
  </si>
  <si>
    <t>Ref-012</t>
  </si>
  <si>
    <t>Dai L, et al. HIV Glasgow 2022, 23–26 October; Glasgow, UK. Oral presentation</t>
  </si>
  <si>
    <t>Ref-013</t>
  </si>
  <si>
    <t>Bachelard A, et al. J Antimicrob Chemother. 2023; 78: 769–778</t>
  </si>
  <si>
    <t>Ref-014</t>
  </si>
  <si>
    <t>Camici M, et al. Int J Antimicrob Agents. 2024; 63: 107049</t>
  </si>
  <si>
    <t>Ref-015</t>
  </si>
  <si>
    <t>European AIDS Clinical Society (EACS). Guidelines. Version 12.0 October 2023. Available from: https://www.eacsociety.org/media/guidelines-12.0.pdf/
. Accessed April 2024</t>
  </si>
  <si>
    <t>Ref-016</t>
  </si>
  <si>
    <t>US Department of Health and Human Services (DHHS). Guidelines for the use of antiretroviral agents in adults and adolescents with HIV. February 2024. Available from: https://clinicalinfo.hiv.gov/sites/default/files/guidelines/documents/adult-adolescent-arv/guidelines-adult-adolescent-arv.pdf
. Accessed April 2024</t>
  </si>
  <si>
    <t>Ref-017</t>
  </si>
  <si>
    <t>Gandhi RT, et al. JAMA. 2023; 329: 63–84</t>
  </si>
  <si>
    <t>Ref-018</t>
  </si>
  <si>
    <t xml:space="preserve">BIKTARVY® (BIC/FTC/TAF) Summary of Product Characteristics.
</t>
  </si>
  <si>
    <t>Ref-019</t>
  </si>
  <si>
    <t>Sax PE, et al. eClinicalMedicine. 2023; 59: 10199.</t>
  </si>
  <si>
    <t>Ref-020</t>
  </si>
  <si>
    <t>Kityo C, et al. International AIDS Society (IAS) 2019, 21–24 July; Mexico City, Mexico. Presentation MOAB0106</t>
  </si>
  <si>
    <t>Ref-021</t>
  </si>
  <si>
    <t>Natukunda E, et al. International Workshop on HIV Pediatrics 2021, 16–17 July; Virtual. Oral 2</t>
  </si>
  <si>
    <t>Ref-022</t>
  </si>
  <si>
    <t>Rodriguez C, et al. International Workshop on HIV Pediatrics 2022, 27–28 July; Montréal, Canada. Oral 2</t>
  </si>
  <si>
    <t>Ref-023</t>
  </si>
  <si>
    <t>Hagins D, et al. J Acquir Immune Defic Syndr. 2021; 88: 86–95</t>
  </si>
  <si>
    <t>Ref-024</t>
  </si>
  <si>
    <t>Maggiolo F, et al. HIV Med. 2023; 24: 27–36</t>
  </si>
  <si>
    <t>Ref-025</t>
  </si>
  <si>
    <t>Avihingsanon A, et al. Lancet HIV. 2023; 10: e640–e652</t>
  </si>
  <si>
    <t>Ref-026</t>
  </si>
  <si>
    <t>Brar I, et al. Infectious Disease (ID) Week 2020, 21–25 October; Virtual. Poster 1028</t>
  </si>
  <si>
    <t>Ref-027</t>
  </si>
  <si>
    <t>Andreatta K, et al. 18th European AIDS Conference (EACS) 2021, 27–30 October; London, UK. Poster PE1/19</t>
  </si>
  <si>
    <t>Ref-028</t>
  </si>
  <si>
    <t>Sabranski M, et al. 19th European AIDS Conference (EACS) 2023, 18–21 October; Warsaw, Poland. Poster eP.A.081</t>
  </si>
  <si>
    <t>Ref-029</t>
  </si>
  <si>
    <t>Gs-006</t>
  </si>
  <si>
    <t>Gs-007</t>
  </si>
  <si>
    <t>TAF, tenofovir alafenamide fumarate</t>
  </si>
  <si>
    <t>Cl-011</t>
  </si>
  <si>
    <t>BIKTARVY®: robust and durable efficacy through 5 years in treatment-naïve people with HIV</t>
  </si>
  <si>
    <t>PM3</t>
  </si>
  <si>
    <t>BIKTARVY® shows sustained efficacy over five years in treatment naïve people with HIV</t>
  </si>
  <si>
    <t>Cl-012</t>
  </si>
  <si>
    <t>Primary endpoint: at Week 48, pooled data from treatment-naïve participants, efficacy was 91% for BIKTARVY® (pooled n=634)</t>
  </si>
  <si>
    <t>RT-004</t>
  </si>
  <si>
    <t xml:space="preserve">Efficacy (HIV &lt;50 copies/mL), all participants on BIKTARVY®, pooled Studies 1489 and 1490 </t>
  </si>
  <si>
    <t>RT-005</t>
  </si>
  <si>
    <t>Study designs are available by tapping Study designs in the navigation bar below</t>
  </si>
  <si>
    <t>Fn-010</t>
  </si>
  <si>
    <t>Adapted from Sax PE, et al. eClinicalMedicine. 2023.1</t>
  </si>
  <si>
    <t>Gs-008</t>
  </si>
  <si>
    <t xml:space="preserve">M=E, missing=excluded
M=F, missing=failure
</t>
  </si>
  <si>
    <t>Comp-013</t>
  </si>
  <si>
    <t>Line chart showing treatment efficacy over time</t>
  </si>
  <si>
    <t>Cl-013</t>
  </si>
  <si>
    <t xml:space="preserve">99% pooled efficacy (M=E) through Week 240 (n=426/432) </t>
  </si>
  <si>
    <t>Fn-011</t>
  </si>
  <si>
    <t>At Week 48 in pooled data from treatment-naïve participants: efficacy was 91% for BIKTARVY® (pooled [n=634]) vs 93% (ABC/3TC/DTG [n=315]) in Study 1489 (95% CI: −2.1 [−5.9 to 1.6]) and 93% (FTC/TAF + DTG [n=325]) in Study 1490 (95% CI: −1.9 [−5.6 to 1.8])</t>
  </si>
  <si>
    <t>Fn-012</t>
  </si>
  <si>
    <t>Efficacy defined as HIV-1 RNA &lt;50 copies/mL</t>
  </si>
  <si>
    <t>Fn-013</t>
  </si>
  <si>
    <t>Participants with nonmissing HIV-1 RNA value</t>
  </si>
  <si>
    <t>Cl-014</t>
  </si>
  <si>
    <t xml:space="preserve">67% pooled efficacy (M=F) through Week 240 (n=426/634) </t>
  </si>
  <si>
    <t>Fn-014</t>
  </si>
  <si>
    <t xml:space="preserve">Efficacy defined as HIV-1 RNA &lt;50 copies/mL. </t>
  </si>
  <si>
    <t>Ref-030</t>
  </si>
  <si>
    <t>Sax PE, et al. eClinicalMedicine. 2023; 59: 101991.</t>
  </si>
  <si>
    <t>Ref-031</t>
  </si>
  <si>
    <t>Gs-009</t>
  </si>
  <si>
    <t>3TC, lamivudine; ABC, abacavir; BIC, bictegravir; CAB, cabotegravir; CI, confidence interval; DTG, dolutegravir; FTC, emtricitabine</t>
  </si>
  <si>
    <t>Gs-010</t>
  </si>
  <si>
    <t>M=E, missing=excluded; M=F, missing=failure; RNA, ribonucleic acid; RPV, rilpivirine; TAF, tenofovir alafenamide fumarate</t>
  </si>
  <si>
    <t>Cl-015</t>
  </si>
  <si>
    <t>BIKTARVY®: sustained efficacy through 3 years in virologically suppressed people with HIV</t>
  </si>
  <si>
    <t>Ref-032, Ref-033</t>
  </si>
  <si>
    <t>Fn-014, Fn-015</t>
  </si>
  <si>
    <t>PM4</t>
  </si>
  <si>
    <t>BIKTARVY® shows sustained efficacy over three years in HIV-suppressed individuals</t>
  </si>
  <si>
    <t>Cl-016</t>
  </si>
  <si>
    <t>≥96% efficacy (M=E) maintained through the open-label extensions of both studies</t>
  </si>
  <si>
    <t>Ref-032</t>
  </si>
  <si>
    <t xml:space="preserve">Brar I, et al. Infectious Disease (ID) Week 2020, 21-25 October; Virtual. Poster 1028. 
</t>
  </si>
  <si>
    <t>Ref-033</t>
  </si>
  <si>
    <t xml:space="preserve">Andreatta K, et al. 18th European AIDS Conference (EACS) 2021, 27-30 October; London, UK. Poster PE1/19. </t>
  </si>
  <si>
    <t>Comp-014</t>
  </si>
  <si>
    <t>Clinical study results table with efficacy percentages</t>
  </si>
  <si>
    <t>Ref-010, Ref-011, Ref-032, Ref-033</t>
  </si>
  <si>
    <t>Fn-015</t>
  </si>
  <si>
    <t>Efficacy defined as the proportion of participants with HIV-1 RNA &lt;50 copies/mL by M=E approach in the open-label extensions of 1844 and 1878.</t>
  </si>
  <si>
    <t>Gs-011</t>
  </si>
  <si>
    <t>M=E, missing-excluded</t>
  </si>
  <si>
    <t>Cl-017</t>
  </si>
  <si>
    <t xml:space="preserve">Through Week 48, in Studies 1844 (n=282) and 1878 (n=290), efficacy was 92-94% with BIKTARVY® </t>
  </si>
  <si>
    <t>Fn-016</t>
  </si>
  <si>
    <t xml:space="preserve">At Week 48, efficacy was 94% for BIKTARVY® (n=282) vs 95% for ABC/3TC/DTG (n=281) in Study 1844 (95% CI: -1.4 [-5.5 to 2.6]) and 92% for BIKTARVY® (n=290) vs 89% for ABC/3TC or FTC/TDF plus boosted ATV or DRV (n=287) in Study 1878 (95% CI: 3.2 [-1.6 to 8.2]). </t>
  </si>
  <si>
    <t>Fn-017</t>
  </si>
  <si>
    <t>Includes all participants treated with BIKTARVY® (Study 1844: n=547; Study 1878: n=534) in either the randomisation phases or the open-label extension phases of Studies 1844 and 1878</t>
  </si>
  <si>
    <t>Ref-034</t>
  </si>
  <si>
    <t>Cl-018</t>
  </si>
  <si>
    <t>BIKTARVY®: high effectiveness through 3 years proven in the real-world BICSTaR study</t>
  </si>
  <si>
    <t>Primary endpoint: at Month 12, effectiveness was 94% (221/236) in treatment-naïve participants and 97% (977/1008) in treatment-experienced participants</t>
  </si>
  <si>
    <t>Effectiveness (M=E) with BIKTARVY® at Month 36</t>
  </si>
  <si>
    <t>RT-037</t>
  </si>
  <si>
    <t>BICSTaR evaluated the effectiveness of BIKTARVY® in a diverse range of participants (N=781) including: Aged ≥65 Late presenters Comorbidities (&gt;50% of all participants)</t>
  </si>
  <si>
    <t>Comp-019</t>
  </si>
  <si>
    <t>Comp-015</t>
  </si>
  <si>
    <t>Adapted from Sabranski M, et al. EACS 2023.1</t>
  </si>
  <si>
    <t>Effectiveness defined as HIV-1 RNA &lt;50 copies/mL, M=E.</t>
  </si>
  <si>
    <t>At Month 36, D=F analysis: effectiveness (HIV-1 RNA &lt;50 copies/mL) was 76% in treatment-naïve participants (n=76) (95% Cl: 65-85) and 78% in treatment-experienced participants</t>
  </si>
  <si>
    <t xml:space="preserve">Late presenters with advanced disease (CD4 count &lt;350 cells/μL and/or ≥1 AIDS-defining event). </t>
  </si>
  <si>
    <t>Study designs are available by tapping ‘Study designs’ in the navigation bar below.</t>
  </si>
  <si>
    <t>Sabranski M, et al. 19th European AIDS Conference (EACS) 2023, 18-21 October; Warsaw, Poland. Poster eP.A.081.</t>
  </si>
  <si>
    <t>Esser S, et al. HIV Med. 2024; 25: 440-453.</t>
  </si>
  <si>
    <t xml:space="preserve">Sabranski M, et al. 19th European AIDS Conference (EACS) 2023, 18-21 October; Warsaw, Poland. Poster eP.A.081. 
Schellberg S, et al. Deutsch-Österreichischer AIDS-Kongress (DÖAK) 2023, 23-25 March; Bonn, Germany. Poster 80874. </t>
  </si>
  <si>
    <t>AIDS, acquired immunodeficiency syndrome; CAB, cabotegravir; CD4, cluster of differentiation 4; CI, confidence interval; D=F, discontinuation=failure;
M=E, missing=excluded; RNA, ribonucleic acid; RPV, rilpivirine.</t>
  </si>
  <si>
    <t>BIKTARVY®: 0 treatment-emergent resistance in diverse populations</t>
  </si>
  <si>
    <t>RT-038</t>
  </si>
  <si>
    <t>Women 96 weeks; n=234</t>
  </si>
  <si>
    <t>Comp-020</t>
  </si>
  <si>
    <t>RT-039</t>
  </si>
  <si>
    <t>Children and adolescents Up to 96 weeks; n=122</t>
  </si>
  <si>
    <t>Comp-021</t>
  </si>
  <si>
    <t>RT-040</t>
  </si>
  <si>
    <t>≥65 years of age 96 weeks; n=86</t>
  </si>
  <si>
    <t>RT-041</t>
  </si>
  <si>
    <t>HBV coinfection 96 weeks; n=121</t>
  </si>
  <si>
    <t>RT-042</t>
  </si>
  <si>
    <t>African Americans 48 weeks; n=330</t>
  </si>
  <si>
    <t>Resistance testing criteria: a confirmed plasma HIV-1 RNA 250 copies/mL with the confirmation plasma HIV-1 RNA 2200 copies/mL or having plasma HIV-1 RNA 2200 copies/mL in the Week 48 or 96 window, or at the last visit on study drug. In BRAAVE (African Americans), resistance criteria: any participant with plasma HIV-1 RNA 2200 copies/mL at confirmed virologic failure and who did not resuppress on study drug.</t>
  </si>
  <si>
    <t xml:space="preserve">1 participant met the criteria for resistance testing, with 0 treatment-emergent resistance to BIKTARVY®. </t>
  </si>
  <si>
    <t>In virologically suppressed children and adolescents (aged 6 to &lt;18 years; weight ≥25 kg, adult strength BIKTARVY® [n=100]) through 96 weeks and children (aged ≥2 years;
weight 14 to &lt;25 kg, low-dose BIKTARVY®[n=22]) through 48 weeks.2–4 At Week 48, 2 participants aged 6 to &lt;18 years, weight ≥25 kg, met criteria for virological resistance testing
and 0 cases of treatment-emergent resistance to BIKTARVY® were identified.2 BIKTARVY® is not approved for use in children weighing &lt;14 kg.</t>
  </si>
  <si>
    <t>No participants met the criteria for additional resistance testing during the study; therefore, there were 0 cases of treatment-emergent resistance to BIKTARVY®</t>
  </si>
  <si>
    <t>Patients with chronic hepatitis B treated with antiretroviral therapy are at an increased risk for severe and potentially fatal hepatic adverse reactions. 6 participants met the criteria for resistance testing, of which 0 had resistance to any component of BIKTARVY®</t>
  </si>
  <si>
    <t xml:space="preserve"> 1 participant met criteria for resistance testing with 0 cases of treatment-emergent resistance to BIKTARVY® identified.</t>
  </si>
  <si>
    <t>Women Icon</t>
  </si>
  <si>
    <t>Children and adolescents Icon</t>
  </si>
  <si>
    <t>65 plus Icon</t>
  </si>
  <si>
    <t>HBV coinfection Icon</t>
  </si>
  <si>
    <t>African Americans Icon</t>
  </si>
  <si>
    <t>Kityo C, et al. International AIDS Society (IAS) 2019, 21–24 July; Mexico City, Mexico. Presentation MOAB0106.
Gaur A, et al. Lancet Child Adolesc Health. 2021; 5: 642−651.
Natukunda E, et al. International Workshop on HIV Pediatrics 2021, 16−17 July. Oral 2. 
Rodriguez C, et al. International Workshop on HIV Pediatrics 2022, 27−28 July; Montréal, Canada. Oral 2.
Maggiolo F, et al. HIV Med. 2023; 24: 27−36.
Avihingsanon A, et al. Lancet HIV. 2023; 10: e640–e652.
Hagins D, et al. J Acquir Immune Defic Syndr. 2021; 88: 86−95.</t>
  </si>
  <si>
    <t>Kityo C, et al. International AIDS Society (IAS) 2019, 21–24 July; Mexico City, Mexico. Presentation MOAB0106.</t>
  </si>
  <si>
    <t xml:space="preserve">Gaur A, et al. Lancet Child Adolesc Health. 2021; 5: 642−651.
Natukunda E, et al. International Workshop on HIV Pediatrics 2021, 16−17 July. Oral 2.
Rodriguez C, et al. International Workshop on HIV Pediatrics 2022, 27−28 July; Montréal, Canada. Oral 2.
</t>
  </si>
  <si>
    <t>Maggiolo F, et al. HIV Med. 2023; 24: 27−36.</t>
  </si>
  <si>
    <t>Avihingsanon A, et al. Lancet HIV. 2023; 10: e640–e652.</t>
  </si>
  <si>
    <t>Hagins D, et al. J Acquir Immune Defic Syndr. 2021; 88: 86−95.</t>
  </si>
  <si>
    <t>BIC, bictegravir; CAB, cabotegravir; HBV, hepatitis B virus; FTC, emtricitabine; RNA, ribonucleic acid; RPV, rilpivirine; TAF, tenofovir alafenamide fumarate.</t>
  </si>
  <si>
    <t>BIKTARVY®: rapid initiation supported by treatment guidelines</t>
  </si>
  <si>
    <t>The EACS, DHHS and IAS treatment guidelines recommend ART should be started immediately or as soon as possible after diagnosis.</t>
  </si>
  <si>
    <t>RT-043</t>
  </si>
  <si>
    <t>Cl-019</t>
  </si>
  <si>
    <t>BIKTARVY® can be initiated while waiting for test results</t>
  </si>
  <si>
    <t>Comp-022</t>
  </si>
  <si>
    <t>Resistance</t>
  </si>
  <si>
    <t>Viral Load</t>
  </si>
  <si>
    <t>CD4 Count</t>
  </si>
  <si>
    <t>HBV Status</t>
  </si>
  <si>
    <t>Resistance icon</t>
  </si>
  <si>
    <t>Viral Load Icon</t>
  </si>
  <si>
    <t>CD4 Count Icon</t>
  </si>
  <si>
    <t>HBV Status Icon</t>
  </si>
  <si>
    <t>For further information on testing and eligibility, please refer to the Summary of Product Characteristics.</t>
  </si>
  <si>
    <t>Please refer to the Guidelines for specific guideline recommendations.</t>
  </si>
  <si>
    <t>Should resistance be detected once any testing has been done and results are available,
HCPs should switch patients to a suitable ART.</t>
  </si>
  <si>
    <t>ART , antiretroviral therapy ; BIC , bictegravir ; CAB , cabotegravir ; CD4 , cluster of differentiation 4 ; DHHS , Department of Health and Human Services ; EACS , European AIDS Clinical Society ; FTC , emtricitabine ; HBV , hepatitis B virus ; HCP , healthcare professional ; IAS , International Antiviral Society ; RPV , rilpivirine ; TAF , tenofovir alafenamide fumarate</t>
  </si>
  <si>
    <t>European AIDS Clinical Society (EACS). Guidelines. Version 12.0. October 2023. Available from: https://www.eacsociety.org/media/guidelines-12.0.pdf. Accessed April 2024.
US Department of Health and Human Services (DHHS). Guidelines for the use of antiretroviral agents in adults and adolescents living with HIV. February 2024. Available from: https://clinicalinfo.hiv.gov/sites/default/files/guidelines/documents/adult-adolescent-arv/guidelines-adult-adolescent-arv.pdf. Accessed April 2024. 
Gandhi RT, et al. JAMA. 2023; 329: 63–84.</t>
  </si>
  <si>
    <t>European AIDS Clinical Society (EACS). Guidelines. Version 12.0. October 2023. Available from: https://www.eacsociety.org/media/guidelines-12.0.pdf. Accessed April 2024.
US Department of Health and Human Services (DHHS). Guidelines for the use of antiretroviral agents in adults and adolescents living with HIV. February 2024. Available from: https://clinicalinfo.hiv.gov/sites/default/files/guidelines/documents/adult-adolescent-arv/guidelines-adult-adolescent-arv.pdf. Accessed April 2024. 
Gandhi RT, et al. JAMA. 2023; 329: 63–84.
BIKTARVY® (BIC/FTC/TAF) Summary of Product Characteristics.</t>
  </si>
  <si>
    <t>BIKTARVY®: a robust regimen for rapid initiation in both clinical trials and the real world</t>
  </si>
  <si>
    <t>Biktarvy Rapid initiation Table</t>
  </si>
  <si>
    <t xml:space="preserve">Hidalgo-Tenorio C, et al. European AIDS Conference (EACS) 2023, 18-21 October; Warsaw, Poland. Poster eP.A.098.
Wang R, et al. Clin Infect Dis. 2024; 1-8. Online ahead of print.
Camici M, et al. Int J Antimicrob Agents. 2024; 63: 1-9. 
Bachelard A, et al. J Antimicrob Chemother. 2023; 78: 769-778. </t>
  </si>
  <si>
    <t>CAB, cabotegravir; ITT, intention-to-treat; RNA, ribonucleic acid; RPV, rilpivirine.</t>
  </si>
  <si>
    <t>BIKTARVY®: a guideline-recommended regimen</t>
  </si>
  <si>
    <t>The EACS, DHHS and IAS treatment guidelines recommend INSTI + NRTI combination STRs for the initial treatment of most people with HIV</t>
  </si>
  <si>
    <t>Regimens available as STR recommended for initial treatment of most people with HIV</t>
  </si>
  <si>
    <t>BIKTARVY® is the only initial INSTI + NRTI combination regimen recommended by all three guidelines:
- Before baseline resistance test results 
- Regardless of baseline viral load
- Without the need for HBV, HLA-B*5701 or HBsAg testing prior to initiating treatment</t>
  </si>
  <si>
    <t>For further information on testing and eligibility,
please refer to the Summary of Product Characteristics</t>
  </si>
  <si>
    <t xml:space="preserve">BIKTARVY® is indicated for the treatment of human immunodeficiency virus-1 (HIV-1) infection in adults and paediatric patients at least 2 years of age and weighing at least 14 kg without present or past evidence of viral resistance to the integrase inhibitor class, FTC or tenofovir. </t>
  </si>
  <si>
    <t xml:space="preserve">European AIDS Clinical Society (EACS). Guidelines. Version 12.0. October 2023. Available from: https://www.eacsociety.org/media/guidelines-12.0.pdf. Accessed April 2024. US Department of Health and Human Services (DHHS). Guidelines for the use of antiretroviral agents in adults and adolescents living with HIV. February 2024. Available from: https://clinicalinfo.hiv.gov/sites/default/files/guidelines/documents/adult-adolescent-arv/guidelines-adult-adolescent-arv.pdf. Accessed April 2024. 
Gandhi RT, et al. JAMA. 2023; 329: 63-84. 
BIKTARVY (BIC/FTC/TAF) Summary of Product Characteristics. </t>
  </si>
  <si>
    <t>INSTI, integrase strand transferase inhibitor
NRTI, nucleoside reverse transcriptase inhibitor
HBsAg, hepatitis B surface antigen
HBV, hepatitis B virus</t>
  </si>
  <si>
    <t>European AIDS Clinical Society (EACS). Guidelines. Version 12.0. October 2023. Available from: https://www.eacsociety.org/media/guidelines-12.0.pdf. Accessed April 2024. 
US Department of Health and Human Services (DHHS). Guidelines for the use of antiretroviral agents in adults and adolescents living with HIV. February 2024. Available from: https://clinicalinfo.hiv.gov/sites/default/files/guidelines/documents/adult-adolescent-arv/guidelines-adult-adolescent-arv.pdf. Accessed April 2024. 
Gandhi RT, et al. JAMA. 2023; 329: 63–84.</t>
  </si>
  <si>
    <t xml:space="preserve">The DHHS guidelines recommend that 2 NRTIs + INSTI or 1 NRTI + INSTI regimens should only be used as initial regimens for people with HIV who do not have a history of CAB-LA use as PrEP. </t>
  </si>
  <si>
    <t>STR, single-tablet regimen</t>
  </si>
  <si>
    <t>EACS, European AIDS Clinical Society
DHHS, Department of Health and Human Services
IAS, International Antiviral Society
INSTI, integrase strand transferase inhibitor
STR, single-tablet regimen
NRTI, nucleoside reverse transcriptase inhibitor</t>
  </si>
  <si>
    <t>Ref-comp</t>
  </si>
  <si>
    <t xml:space="preserve">European AIDS Clinical Society (EACS). Guidelines. Version 12.0. October 2023. Available from: https://www.eacsociety.org/media/guidelines-12.0.pdf. Accessed April 2024. US Department of Health and Human Services (DHHS). Guidelines for the use of antiretroviral agents in adults and adolescents living with HIV. February 2024. Available from: https://clinicalinfo.hiv.gov/sites/default/files/guidelines/documents/adult-adolescent-arv/guidelines-adult-adolescent-arv.pdf. Accessed April 2024. 
BIKTARVY (BIC/FTC/TAF) Summary of Product Characteristics. </t>
  </si>
  <si>
    <t>Foot-Comp</t>
  </si>
  <si>
    <t>Main requirements: HLA-B*57:01 negative; HBsAg negative.
Main requirements: HBsAg negative; HIV-VL &lt;500,000 copies/mL; Not recommended after PrEP failure.
BIC should not be initiated in pregnant people due to insufficient data in pregnancy.
If HLA-B*5701 negative.
Except for individuals with HIV RNA &gt;500,000 copies/mL, HBV coinfection, or in whom ART is to be started before the results of HIV genotypic resistance testing for reverse transcriptase or HBV testing are available.
Only if HIV RNA &lt;500,000 copies/mL and HBV coinfection not present. This regimen should not be used for rapid initiation when genotype, HIV RNA, and HBV serology results are not yet available.</t>
  </si>
  <si>
    <t>Glossary-comp</t>
  </si>
  <si>
    <t>3TC, lamivudine
ABC, abacavir
DHHS, Department of Health and Human Services
DOR, doravirine
DTG, dolutegravir
EACS, European AIDS Clinical Society
FTC, emtricitabine
TDF, tenofovir disoproxil fumarate 
IAS, International Antiviral Society</t>
  </si>
  <si>
    <t>claim</t>
  </si>
  <si>
    <t>BIKTARVY®: forgiving when life happens and doses are unintentionally missed</t>
  </si>
  <si>
    <t>Andreatta K, et al. Infectious Diseases (ID) Week 2023; 11–15 October; Boston, MA.</t>
  </si>
  <si>
    <t>Forgiveness is defined as the ability of a given regimen to achieve and maintain virological suppression despite imperfect adherence.
 A retrospective analysis evaluated treatment adherence and its effect on virologic outcomes in double-blind, placebo-controlled clinical studies in treatment-naïve (1489, 1490, 4458) or virologically suppressed (1844 and 4030) participants. In participants with high adherence (≥95%), virologic suppression was similarly high between treatment groups (&gt;98%). In participants with suboptimal adherence (&lt;85%), BIKTARVY® maintained high levels of virologic suppression (&gt;95%) through 144 weeks with 0 cases of treatment-emergent resistance.</t>
  </si>
  <si>
    <t>DTG + 2 NRTI regimens: Study 1489, ABC/3TC/DTG and Study 1490, DTG + FTC/TAF. In participants with suboptimal adherence (&lt;85%), BIKTARVY® maintained virologic suppression of 97% vs 82% with DTG + 2 NRTI regimens. There were 0 cases of treatment-emergent resistance with BIKTARVY® vs 2 with ABC/3TC/DTG.</t>
  </si>
  <si>
    <t>NRTI, nucleoside reverse transcriptase inhibitor
DTG, dolutegravir</t>
  </si>
  <si>
    <t>Real-world adherence to ART is suboptimal</t>
  </si>
  <si>
    <t>More forgiving of suboptimal (&lt;85%) adherence than DTG + 2 NRTI regimens in pivotal trials (p=0.03)</t>
  </si>
  <si>
    <t>BIKTARVY® is one tablet to be taken once daily.</t>
  </si>
  <si>
    <t>Suboptimal adherence is associated with: Virologic non-suppression (OR: 2.24) Treatment-emergent resistance</t>
  </si>
  <si>
    <t>24.1% reported missing ART ≥5 times within the past month</t>
  </si>
  <si>
    <t>71.1% reported missing ART ≥1 time within the past month</t>
  </si>
  <si>
    <t>In an online survey of people with HIV (N=2389) across 25 countries:</t>
  </si>
  <si>
    <t>De los Rios P, et al. Prev Med. 2020; 139: 106182.</t>
  </si>
  <si>
    <t>Gardner EM, et al. AIDS. 2009; 23: 1035–1046.
Carr A, et al. Antivir Ther. 2023; 28: 13596535231201162.</t>
  </si>
  <si>
    <t>Suboptimal adherence was defined as a report of ≥1 reason for missing ART ≥5 times within the past month.</t>
  </si>
  <si>
    <t>ART, antiretroviral therapy</t>
  </si>
  <si>
    <t>OR, odds ratio</t>
  </si>
  <si>
    <t xml:space="preserve">Data from web-based surveys of confirmed HIV+ adults on antiretroviral treatment within 25 countries during 2019 (US [n=400], South Africa [n=179], Russia [n=150], United Kingdom [n=123], Australia [n=120], Canada [n=120], France [n=120], Germany [n=120], Italy [n=120], Spain [n=120], Japan [n=75], Mexico [n=63], Portugal [n=60], Brazil [n=58], Switzerland [n=55], Taiwan [n=55], Netherlands [n=51], Argentina [n=50], Austria [n=50], Belgium [n=50], Chile [n=50], China [n=50], Ireland [n=50], Poland [n=50], and South Korea [n=50]).
</t>
  </si>
  <si>
    <t>Illustration-24.1% reported missing ART</t>
  </si>
  <si>
    <t>Illustration-71.1% reported missing ART</t>
  </si>
  <si>
    <t>Treatment-emergent resistance Icon</t>
  </si>
  <si>
    <t>Virologic non-suppression Icon</t>
  </si>
  <si>
    <t>BIKTARVY®: forgiveness demonstrated in Phase 3 clinical trials</t>
  </si>
  <si>
    <t xml:space="preserve">BIKTARVY® maintained higher virologic suppression through 144 weeks in treatment-naïve participants with &lt;85% adherence vs DTG + 2 NRTI regimens (p=0.03) </t>
  </si>
  <si>
    <t>0 treatment-emergent resistance with BIKTARVY® (n=1306) Across double-blind, placebocontrolled
clinical studies in treatment-naïve (1489, 1490,4458) or virologically suppressed(1844 and 4030) participants</t>
  </si>
  <si>
    <t>Efficacy (HIV &lt;50 copies/mL) of BIKTARVY® vs DTG + 2 NRTI regimens stratified by adherence level in a pooled, retrospective analysis of 1489 and 1490</t>
  </si>
  <si>
    <t>Forgiveness is defined as the ability of a given regimen to achieve and maintain virological suppression despite imperfect adherence.
A retrospective analysis evaluated treatment adherence and its effect on virologic outcomes in double-blind, placebo-controlled clinical studies in treatment-naïve (1489, 1490, 4458) or virologically suppressed (1844 and 4030) participants. Participants with 21 returned pill bottle and 21 on-treatment HIV-1 RNA measurement were included in the analysis. Adherence was measured by the number of pills taken divided by the number of pills prescribed. Assessment was limited to returned pill bottles.</t>
  </si>
  <si>
    <t>A retrospective analysis evaluated treatment adherence and its effect on virologic outcomes in double-blind, placebo-controlled clinical studies in treatment-naïve (1489, 1490, 4458) or virologically suppressed (1844 and 4030) participants. Participants with 21 returned pill bottle and 21 on-treatment HIV-1 RNA measurement were included in the analysis. Adherence was measured by the number of pills taken divided by the number of pills prescribed. Assessment was limited to returned pill bottles.
DTG + 2 NRTI regimens included: Study 1489, ABC/3TC/DTG (n=314) and Study 1490, DTG + FTC/TAF (n=323).</t>
  </si>
  <si>
    <t>BIKTARVY® : high barrier to resistance in the SOLAR study</t>
  </si>
  <si>
    <t>Supporting Claim</t>
  </si>
  <si>
    <t>2 of these participants developed 2-class INSTI and NNRTI resistance</t>
  </si>
  <si>
    <t>3 cases of CVF with CAB+RPV; all developed treatment-emergent resistance despite full adherence</t>
  </si>
  <si>
    <t>0 CVF or resistance with BIKTARVY®</t>
  </si>
  <si>
    <t>Ramgopal MN, et al. Lancet HIV. 2023; 10: e566–e577.</t>
  </si>
  <si>
    <t>INSTI, integrase strand transfer inhibitor
NNRTI, non-nucleoside reverse transcriptase inhibitor</t>
  </si>
  <si>
    <t>CAB, cabotegravir
CVF, confirmed virological failure
RPV, rilpivirine</t>
  </si>
  <si>
    <t>CVF, confirmed virological failure</t>
  </si>
  <si>
    <t xml:space="preserve">Primary endpoint: At Month 12, IM CAB+RPV demonstrated non-inferiority vs BIKTARVY® in the mITT-E, ITT-E and per-protocol populations. In the mITT-E population, &lt;1% (1/223) participants treated with BIKTARVY® had HIV-1 RNA ≥50 copies/mL at Month 12 vs 1% (5/447) with IM CAB+RPV </t>
  </si>
  <si>
    <t>The mITT- E analysis excluded participants that were found to have non-compliance to protocol entry requirements at one study site (BIKTARVY®, n=223; IM CAB+RPV, n=447), these participants were included in the ITT-E analysis (BIKTARVY®, n=227; IM CAB + RPV, n=454).</t>
  </si>
  <si>
    <t>IM, intramuscular
CAB. cabotegravir
RPV, rilpivirine
mITT-E, modified intent-to-treat exposed
ITT-E. intent-to-treat exposed
RNA, ribonucleic acid</t>
  </si>
  <si>
    <t>3 Person Icon</t>
  </si>
  <si>
    <t>2 Person Icon</t>
  </si>
  <si>
    <t>BIKTARVY®: study designs</t>
  </si>
  <si>
    <t>Sax PE, et al. eClinicalMedicine. 2023; 59: 101991.
Brar I, et al. Infectious Diseases (ID) Week 2020, 21–25 October. Poster 1028.
Andreatta K, et al. 18th European AIDS Conference (EACS) 2021, 27–30 October; London, UK. Poster PE1/19.
Ramgopal MN, et al. Lancet HIV. 2023; 10: e566–e577
Avihingsanon A, et al. Lancet HIV. 2023; 10: e640–e652.
Kityo C, et al. International AIDS Society (IAS) 2019, 21–24 July; Mexico City, Mexico. Presentation MOAB0106.
Gaur A, et al. Lancet Child Adolesc Health. 2021; 5: 642−651.
Natukunda E, et al. International Workshop on HIV Pediatrics 2021, 16−17 July; Virtual. Oral 2.
Rodriguez C, et al. International Workshop on HIV Pediatrics 2022, 27−28 July; Montréal, Canada. Oral 2.
Maggiolo F, et al. HIV Med. 2023; 24: 27−36. 
Hagins D, et al. J Acquir Immune Defic Syndr. 2021; 88: 86−95.
Hidalgo-Tenorio C, et al. European AIDS Conference (EACS) 2023, 18–21 October; Warsaw, Poland. Poster eP.A.098.
Wang R, et al. Clin Infect Dis. 2024; 1–8. Online ahead of print.
Camici M, et al. Int J Antimicrob Agents. 2024; 63: 1–9.
Bachelard A, et al. J Antimicrob Chemother. 2023; 78: 769–778.
Sabranski M, et al. 19th European AIDS Conference (EACS) 2023, 18–21 October; Warsaw, Poland. Poster eP.A.081.</t>
  </si>
  <si>
    <t>Treatment-naïve adults: Studies 1489 and 1490</t>
  </si>
  <si>
    <t>Studies 1489 and 1490 were Phase 3, randomised, double-blind, multicentre clinical trials</t>
  </si>
  <si>
    <t>Primary endpoint: - HIV-1 RNA &lt;50 copies/mL at Week 48</t>
  </si>
  <si>
    <t>Secondary endpoints: - HIV-1 RNA &lt;50 copies/mL at Weeks 96, 144, 192 and 240</t>
  </si>
  <si>
    <t>OLE objectives: - To evaluate efficacy and safety after additional exposure to BIKTARVY®</t>
  </si>
  <si>
    <t>Sax PE, et al. eClinical Medicine. 2023; 59: 101991.
Wohl DA, et al. Virtual Conference on Retroviruses and Opportunistic Infections (CROI) 2022, 12-16 February. Poster 494.
Gallant J, et al. Lancet. 2017; 390: 2063-2072.
Orkin C, et al. Lancet. 2020; 7: e389- e400.
BIKTARVY® (BIC/FTC/TAF ) Summary of Product Characteristics.</t>
  </si>
  <si>
    <t>BIKTARVY® (BIC/FTC/TAF) Summary of Product Characteristics.</t>
  </si>
  <si>
    <t>Wohl DA, et al. Virtual Conference on Retroviruses and Opportunistic Infections (CROI) 2022, 12-16 February. Poster 494.
Gallant J, et al. Lancet. 2017; 390: 2063-2072.</t>
  </si>
  <si>
    <t>Wohl DA, et al. Virtual Conference on Retroviruses and Opportunistic Infections (CROI) 2022, 12-16 February. Poster 494.
Orkin C, et al. Lancet. 2020; 7: e389- e400.</t>
  </si>
  <si>
    <t>Sax PE, et al. eClinical Medicine. 2023; 59: 101991.</t>
  </si>
  <si>
    <t>Based on US FDA snapshot algorithm, non-inferiority margin of -12%</t>
  </si>
  <si>
    <t>RNA, ribonucleic acid</t>
  </si>
  <si>
    <t>OLE, open-label extension</t>
  </si>
  <si>
    <t>Adapted from Sax PE, et al. eClinicalMedicine.
Based on US FDA snapshot algorithm, non-inferiority margin of -12%.</t>
  </si>
  <si>
    <t>ART, antiretroviral therapy
HLA, human leukocyte antigen
HBV, hepatitis B virus
TAF, tenofovir alafenamide fumarate
eGFR CG , estimated glomerular filtration rate by Cockcroft-Gault
FTC, emtricitabine
 3TC, lamivudine
RNA, ribonucleic acid
ABC, abacavir
HCV, hepatitis C virus
QD, once daily
DTG, dolutegravir</t>
  </si>
  <si>
    <t>Data Infographic for Treatment-naïve adults: Studies 1489 and 1490</t>
  </si>
  <si>
    <t>Virologically suppressed adults: Study 1844</t>
  </si>
  <si>
    <t>Study 1844 was a Phase 3, randomised, double-blind, multicentre, active-controlled, non-inferiority trial</t>
  </si>
  <si>
    <t>Primary endpoint: - HIV-1 RNA ≥50 copies/mL at Week 48</t>
  </si>
  <si>
    <t>Secondary endpoint: - HIV-1 RNA ≥50 copies/mL at Week 168</t>
  </si>
  <si>
    <t>Brar I, et al. Infectious Diseases (ID) Week 2020, 21–25 October. Poster 1028.
Molina JM, et al. Lancet HIV. 2018; 5: e357–e365.</t>
  </si>
  <si>
    <t>Brar I, et al. Infectious Diseases (ID) Week 2020, 21–25 October. Poster 1028.</t>
  </si>
  <si>
    <t>Based on US FDA snapshot algorithm, non-inferiority margin of 4%.</t>
  </si>
  <si>
    <t>Adapted from Brar I, et al. ID Week 2020.
Based on US FDA snapshot algorithm, non-inferiority margin of 4%.
Could be components of single-tablet regimen.</t>
  </si>
  <si>
    <t>HBV, hepatitis B virus
eGFR CG , estimated glomerular filtration rate by Cockcroft-Gault
 3TC, lamivudine
RNA, ribonucleic acid
ABC, abacavir
QD, once daily
DTG, dolutegravir
OLE, open-label extension</t>
  </si>
  <si>
    <t>Data Infographic for Virologically suppressed adults: Study 1844</t>
  </si>
  <si>
    <t>Virologically suppressed adults: Study 1878</t>
  </si>
  <si>
    <t>Study 1878 was a Phase 3, randomised, open-label, active-controlled, international, non-inferiority trial</t>
  </si>
  <si>
    <t>Secondary endpoint: - HIV-1 RNA ≥50 copies/mL at Week 96</t>
  </si>
  <si>
    <t>Rockstroh JK, et al. HIV Glasgow 2020, 5–8 October; Glasgow, UK. Poster 036.
Daar E, et al. Lancet HIV. 2018; 5: e347–e356.
 Andreatta K, et al. 18th European AIDS Conference (EACS) 2021, 27–30 October; London, UK. Poster PE1/19.</t>
  </si>
  <si>
    <t>Rockstroh JK, et al. HIV Glasgow 2020, 5–8 October; Glasgow, UK. Poster 036.</t>
  </si>
  <si>
    <t>Adapted from Rockstroh JK, et al. HIV Glasgow 2020.
HIV-1 RNA &lt;50 copies/mL.
Booster drugs: RTV or c; NRTIs: ABC/3TC or FTC/TDF.</t>
  </si>
  <si>
    <t>RNA, ribonucleic acid
DRV, darunavir
ATV, atazanavir
NRTI, nucleotide analogue reverse-transcriptase inhibitor
eGFR CG , estimated glomerular filtration rate by Cockcroft-Gault
QD, once daily
OLE, open-label extension</t>
  </si>
  <si>
    <t>Data Infographic for Virologically suppressed adults: Study 1878</t>
  </si>
  <si>
    <t>Virologically suppressed adults: SOLAR</t>
  </si>
  <si>
    <t>SOLAR was a Phase 3b, randomised, open-label, multicentre, non-inferiority study</t>
  </si>
  <si>
    <t>Secondary endpoint:
-HIV-1 RNA &lt;50 copies/mL and CVF
- Absolute values and change from baseline in CD4 cell counts</t>
  </si>
  <si>
    <t>Primary endpoint: - HIV-1 RNA ≥50 copies/mL at Month 11 (LA SWI group) and Month 12 (LA with OL and BIKTARY® group)</t>
  </si>
  <si>
    <t>Ramgopal MN, et al. Lancet HIV. 2023; 10: 566–577.</t>
  </si>
  <si>
    <t>RNA, ribonucleic acid
CD4, cluster of differentiation 4
CVF, confirmed virological failure</t>
  </si>
  <si>
    <t xml:space="preserve">RNA, ribonucleic acid
LA, long-acting
SWI, start with injections
OL, oral lead-in
</t>
  </si>
  <si>
    <t>Adapted from Ramgopal MN, et al. Lancet HIV. 2023.
A single previous integrase inhibitor regimen was allowed if BIKTARVY® was a 2L regimen 6 months before screening . Any previous change in regimen, defined as a change of a single drug or multiple drugs simultaneously, must have been done for tolerability and safety, access to medications, or convenience and simplification reasons, and must not have been done because of treatment failure (HIV-1 RNA ≥400 copies/mL).
 n values are based on the safety population, defined as any randomly assigned participant who received at least one dose of study treatment, including the 11 participants excluded from the mITT-E population.
Participants randomly assigned to the LA group were offered an optional OL; the decision was made by the participants following informed consent discussions with the investigator.
The extension phase will continue study treatment until LA CAB and LA RPV are either locally approved and commercially available, the participant no longer derives clinical benefit, the participant meets a protocol defined reason for discontinuation, or until development of either LA CAB or LA RPV is terminated. Visits will continue to occur every 2 months.</t>
  </si>
  <si>
    <t xml:space="preserve">RNA, ribonucleic acid
QD, once daily
CAB, cabotegravir
IM, intramuscular 
RPV, rilpivirine
Q2M, once every two months
</t>
  </si>
  <si>
    <t>Data Infographic for Virologically suppressed adults: SOLAR</t>
  </si>
  <si>
    <t>HBV coinfection: ALLIANCE</t>
  </si>
  <si>
    <t>ALLIANCE was a Phase 3, randomised controlled trial</t>
  </si>
  <si>
    <t>Co-primary endpoints:
- HIV-1 RNA &lt;50 copies/mL
- HBV DNA &lt;29 IU/mL
(M=F analysis)</t>
  </si>
  <si>
    <t>Randomisation stratified by:
- HBeAg (positive vs negative)
- HBV DNA (&lt;&lt; vs ≥8 log 10 IU/mL)
- CD4+ cell count (&lt;vs ≥50 cells/μL)</t>
  </si>
  <si>
    <t xml:space="preserve">Based on US FDA snapshot algorithm, non-inferiority margin of -12%.
</t>
  </si>
  <si>
    <t>RNA, ribonucleic acid
DNA, deoxyribonucleic acid
M=F, missing=failure
HBV, hepatitis B virus</t>
  </si>
  <si>
    <t>HBV, hepatitis B virus</t>
  </si>
  <si>
    <t>HBeAg, hepatitis B e antigen
DNA, deoxyribonucleic acid
CD4, cluster of differentiation 4
HBV, hepatitis B virus</t>
  </si>
  <si>
    <t>Adapted from Avihingsanon A, et al. Lancet HIV. 2023.</t>
  </si>
  <si>
    <t>DNA , deoxyribonucleic acid
HBV , hepatitis B virus
RNA, ribonucleic acid
FTC, emtricitabine
TFV, tenofovir
eGFRCG, estimated glomerular filtration rate by Cockcroft - Gault method
QD, once daily
TDF, tenofovir disoproxil fumarate
DTG, dolutegravir
BIC, bictegravir
TAF, tenofovir alafenamide fumarate</t>
  </si>
  <si>
    <t>Data Infographic for HBV coinfection: ALLIANCE</t>
  </si>
  <si>
    <t>Women: Study 1961</t>
  </si>
  <si>
    <t xml:space="preserve">  -  </t>
  </si>
  <si>
    <t>Study 1961 was a Phase 3, randomised, open-label, multicentre, active-controlled trial</t>
  </si>
  <si>
    <t>Kityo C, et al. International AIDS Society (IAS) 2019, 21–24 July; Mexico City, Mexico, Presentation MOAB0106. 
Kityo C, et al. J Acquir Immune Defic Syndr. 2019; 82: 321–328.</t>
  </si>
  <si>
    <t xml:space="preserve">Based on US FDA snapshot algorithm, non-inferiority margin of 4%.
</t>
  </si>
  <si>
    <t>Kityo C, et al. International AIDS Society (IAS) 2019, 21–24 July; Mexico City, Mexico, Presentation MOAB0106.</t>
  </si>
  <si>
    <t xml:space="preserve">Adapted from Kityo C, et al. IAS 2019.
HIV-1 RNA &lt;50 copies/mL.
Given without regard to food.
Given with food.
Weeks 48 to 96 is the extended phase of the trial with the same endpoints. </t>
  </si>
  <si>
    <t xml:space="preserve">ART, antiretroviral therapy
EVG, elvitegravir
 c, cobicistat
FTC, emtricitabine
TAF, tenofovir alafenamide fumarate
TDF, tenofovir disoproxil fumarate 
ATV, atazanavir
RTV, ritonavir
eGFRCG, estimated glomerular filtration rate by Cockcroft - Gault
RNA, ribonucleic acid
QD, once daily
</t>
  </si>
  <si>
    <t>Data Infographic for Women: Study 1961</t>
  </si>
  <si>
    <t>Children and adolescents: Study 1474</t>
  </si>
  <si>
    <t>Study 1474 was a Phase 2/3 open-label, multicohort, single-arm study</t>
  </si>
  <si>
    <t>Primary endpoint: - Steady-state PK parameters for bictegravir at Week 2 or Week 4; safety/tolerability of BIKTARVY® through Week 24</t>
  </si>
  <si>
    <t>Secondary endpoint: - Safety/tolerability through Week 48; antiretroviral activity at Week 24 and 48</t>
  </si>
  <si>
    <t xml:space="preserve"> Gaur A, et al. Lancet Child Adolesc Health. 2021; 5: 642−651.
 Natukunda E, et al. International Workshop on HIV Pediatrics 2021, 16−17 July. Oral 2. 
Rodriguez C, et al. International Workshop on HIV Pediatrics 2022, 27−28 July; Montréal, Canada. Oral 2.</t>
  </si>
  <si>
    <t>Gaur A, et al. Lancet Child Adolesc Health. 2021; 5: 642−651.
 Natukunda E, et al. International Workshop on HIV Pediatrics 2021, 16−17 July. Oral 2.</t>
  </si>
  <si>
    <t>BIKTARVY® is not approved for use in children less than 2 years of age and weighing &lt;14 kg.</t>
  </si>
  <si>
    <t>PK, pharmacokinetic</t>
  </si>
  <si>
    <t>Adapted from Natukunda E, et al. International Workshop on HIV Pediatrics 20212 and Rodriguez C, et al. International Workshop on HIV Pediatrics 2022.
BIKTARVY® is not approved for use in children less than 2 years of age and weighing &lt;14 kg.
6 children switched to adult-strength tablet when they exceeded 25 kg.
BIKTARVY® QD full-dose tablet: 50 mg/200 mg/25 mg. BIKTARVY® QD low-dose tablet: 30 mg/120 mg/15 mg</t>
  </si>
  <si>
    <t>NRTI, nucleoside reverse transcriptase inhibitor
RNA, ribonucleic acid
eGFR (Schwartz), estimated glomerular filtration rate by Schwartz equation
CD4, cluster of differentiation-4
TFV, tenofovir
INSTI, integrase strand transfer inhibitor 
FTC, emtricitabine
QD, once daily
PK, pharmacokinetic</t>
  </si>
  <si>
    <t>Data Infographic for Children and adolescents: Study 1474</t>
  </si>
  <si>
    <t>≥65 years of age: Study 4449</t>
  </si>
  <si>
    <t>Study 4449 was a Phase 3b, multicentre, open-label, 96-week single-arm study</t>
  </si>
  <si>
    <t>Primary endpoint: - HIV-1 RNA &lt;50 copies/mL at Week 24</t>
  </si>
  <si>
    <t xml:space="preserve">Secondary endpoints:
- HIV-1 RNA &lt;50 copies/mL at Weeks 48, 72 and 96
- Change from baseline in CD4 cell count and percentage at Weeks 24, 48, 72 and 96
- Safety profile and tolerability of BIKTARVY® </t>
  </si>
  <si>
    <t>Based on US FDA snapshot algorithm.</t>
  </si>
  <si>
    <t>CD4, cluster of differentiation 4
RNA, ribonucleic acid</t>
  </si>
  <si>
    <t>Adapted from Maggiolo F, et al. HIV Med. 2023.</t>
  </si>
  <si>
    <t xml:space="preserve">ART, antiretroviral therapy
EVG, elvitegravir
c, cobicistat
TDF, tenofovir disoproxil fumarate
RNA, ribonucleic acid
QD, once daily
FTC, emtricitabine
TAF, tenofovir alafenamide fumarate
</t>
  </si>
  <si>
    <t>Data Infographic for ≥65 years of age: Study 4449</t>
  </si>
  <si>
    <t>African Americans: BRAAVE 2020 study</t>
  </si>
  <si>
    <t>BRAAVE 2020 was a Phase 3b, randomised, open-label, multicentre, active -controlled study</t>
  </si>
  <si>
    <t>Primary endpoint: - Proportion with HIV-1 RNA ≥50 copies/mL at Week 24</t>
  </si>
  <si>
    <t>Secondary endpoints:
- HIV-1 RNA ≥50 copies/mL at Week 48
- HIV-1 RNA &lt;50 copies/mL at Weeks 24 and 48
- Change in CD4 cell count from baseline to Weeks 24 and 48</t>
  </si>
  <si>
    <t>Hagins D, et al. J Acquir Immune Defic Syndr. 2021; 88: 86−95.
Hagins D, et al. J Acquir Immune Defic Syndr. 2021; 88: 86−95. Supplementary appendix.</t>
  </si>
  <si>
    <t>RNA, ribonucleic acid
CD4, cluster of differentiation 4</t>
  </si>
  <si>
    <t>Adapted from Hagins D, et al. J Acquir Immune Defic Syndr. 2021.
Allowed third agents: any US FDA-approved INSTI (except BIC), any US FDA-approved NNRTI (except etravirine), and US FDA-approved PI or the CCR5 antagonist, maraviroc.</t>
  </si>
  <si>
    <t>NRTI, nucleoside reverse transcriptase inhibitor
eGFRCG, estimated glomerular filtration rate by Cockcroft-Gault 
RNA, ribonucleic acid
INSTI, integrase strand transfer inhibitor
TFV, tenofovir
TAM, thymidine analogue mutation
NNRTI, non-nucleoside reverse transcriptase inhibitor 
Pl, protease inhibitor
QD, once daily
SBR, stay on baseline regimen</t>
  </si>
  <si>
    <t>Data Infographic for African Americans: BRAAVE 2020 study</t>
  </si>
  <si>
    <t>Rapid initiation: BIC-NOW trial</t>
  </si>
  <si>
    <t>A Phase 4, multi-centre, open-label, single-arm 48-week study</t>
  </si>
  <si>
    <t>Outcomes - HIV-1 RNA &lt;50 copies/mL at Weeks 24 and 48 by ITT analysis</t>
  </si>
  <si>
    <t>Hidalgo-Tenorio C, et al. European AIDS Conference (EACS) 2023, 18–21 October; Warsaw, Poland. Poster eP.A.098.</t>
  </si>
  <si>
    <t>RNA, ribonucleic acid
ITT, intention-to-treat</t>
  </si>
  <si>
    <t>Adapted from Hidalgo-Tenorio C, et al. EACS 2023.</t>
  </si>
  <si>
    <t>Data Infographic for Rapid initiation: BIC-NOW trial</t>
  </si>
  <si>
    <t>Rapid initiation: Chinese RCT</t>
  </si>
  <si>
    <t>Secondary endpoints: - Treatment retention, virological efficacy in different subgroups of baseline HIV-1 RNA and CD4 count, and HIV-1 RNA &lt;50 copies/mL at Weeks 4, 12, and 24</t>
  </si>
  <si>
    <t>A national, randomised, open-label clinical trial</t>
  </si>
  <si>
    <t>Wang R, et al. Clin Infect Dis. 2024; 1–8. Online ahead of print.</t>
  </si>
  <si>
    <t>Adapted from Wang R, et al. Clin Infect Dis. 2024.</t>
  </si>
  <si>
    <t xml:space="preserve">ART, antiretroviral therapy
3TC, lamivudine
TDF, tenofovir disoproxil fumarate
EFV, efavirenz
</t>
  </si>
  <si>
    <t>Data Infographic for Rapid initiation: Chinese RCT</t>
  </si>
  <si>
    <t>Rapid initiation in people with advanced HIV: Rainbow</t>
  </si>
  <si>
    <t>Rainbow was a Phase 4, single-centre, single-arm prospective study</t>
  </si>
  <si>
    <t>Secondary outcome: - HIV-RNA &lt;50 copies/mL at Week 48</t>
  </si>
  <si>
    <t>Primary outcome: - Clinical and viral failure</t>
  </si>
  <si>
    <t>Camici M, et al. J Antimicrob Agents. 2024; 63: 107049.</t>
  </si>
  <si>
    <t>Clinical failure defined as any modification of a component of BIKTARVY® before Week 48 due to toxicity, unmanageable DDIs or IRIS. Viral failure defined as the failure to achieve virologic response and/or the presence of viral rebound. Virological response: a reduction of HIV-RNA &gt;1 log10 copies/mL by Week 12, HIV-RNA ≤200 copies/mL at or after Week 24, and HIV-RNA ≤50 copies/mL at Week 48; viral rebound: HIV-1 RNA &gt;200 copies/mL following the attainment of HIV-1 RNA &lt;50 copies/mL or with an increase of &gt;1 log10 copies/mL from the lowest value, confirmed after a 2-week period.</t>
  </si>
  <si>
    <t>Adapted from Camici M, et al. J Antimicrob Agents. 2024.</t>
  </si>
  <si>
    <t>AIDS, acquired immune deficiency syndrome
CD4, cluster of differentiation 4</t>
  </si>
  <si>
    <t>Data Infographic for Rapid initiation in people with advanced HIV: Rainbow</t>
  </si>
  <si>
    <t>Rapid initiation: FAST STUDY-IMEA 055</t>
  </si>
  <si>
    <t>The FAST STUDY-IMEA 055 study was a national, prospective, open-label, single-arm study</t>
  </si>
  <si>
    <t>Primary outcome: - To evaluate the proportion of participants with PVL &lt;50 copies/mL at Week 24</t>
  </si>
  <si>
    <t>Bachelard A, et al. J Antimicrob Chemother. 2023; 78: 769–778.</t>
  </si>
  <si>
    <t>pVL, plasma viral load</t>
  </si>
  <si>
    <t>Adapted from Bachelard A, et al. J Antimicrob Chemother. 2023.</t>
  </si>
  <si>
    <t>Data Infographic for Rapid initiation: FAST STUDY-IMEA 055</t>
  </si>
  <si>
    <t>Real world: BICSTaR</t>
  </si>
  <si>
    <t>BICSTaR is a large, ongoing, multicountry, prospective, observational study</t>
  </si>
  <si>
    <t>Primary outcome: - HIV-1 RNA &lt;50 copies/mL at Week 48 after initiating therapy with, or switching to, BIKTARVY®</t>
  </si>
  <si>
    <t>Secondary outcomes include:
- HIV-1 RNA &lt;50 copies/mL (Missing=Excluded and Discontinuation=Failure analyses at Month 36)
- Treatment persistence (% of participants reaching Month 36 and still on BIKTARVY®)</t>
  </si>
  <si>
    <t>Data Infographic for Real World: BICSTaR study design</t>
  </si>
  <si>
    <t xml:space="preserve"> Esser S, et al. HIV Med. 2024; 25: 440–453.
Sabranski M, et al. 19th European AIDS Conference (EACS) 2023, 18–21 October; Warsaw, Poland.  Poster eP.A.081.</t>
  </si>
  <si>
    <t>Adapted from Esser S, et al. HIV Med. 2024 and Sabranski M, et al. EACS 2023</t>
  </si>
  <si>
    <t>ART, antiretroviral therapy
QD, once daily</t>
  </si>
  <si>
    <t>Esser S, et al. HIV Med. 2024; 25: 440–453.</t>
  </si>
  <si>
    <t>NCT03580668. ClinicalTrials.gov. Available from: https://clinicaltrials.gov/ct2/show/NCT03580668. Accessed April 2024.</t>
  </si>
  <si>
    <t xml:space="preserve">Sabranski M, et al. 19th European AIDS Conference (EACS) 2023, 18–21 October; Warsaw, Poland. Poster eP.A.081. </t>
  </si>
  <si>
    <t>BIKTARVY® is a guideline-recommended regimen</t>
  </si>
  <si>
    <t>Table for EACS guidelines</t>
  </si>
  <si>
    <t>Table for DHS guidelines</t>
  </si>
  <si>
    <t>Table for IAS guidelines</t>
  </si>
  <si>
    <t>European AIDS Clinical Society (EACS). Guidelines. Version 12.0. October 2023. Available from: https://www.eacsociety.org/media/guidelines-12.0.pdf. Accessed April 2024.
US Department of Health and Human Services (DHHS). Guidelines for the use of antiretroviral agents in adults and adolescents living with HIV. February 2024. Available from: https://clinicalinfo.hiv.gov/sites/default/files/guidelines/documents/adult-adolescent-arv/guidelines-adult-adolescent-arv.pdf. Accessed April 2024.
 Gandhi RT, et al. JAMA. 2023; 329: 63–84.</t>
  </si>
  <si>
    <t>European AIDS Clinical Society (EACS). Guidelines. Version 12.0. October 2023. Available from: https://www.eacsociety.org/media/guidelines-12.0.pdf. Accessed April 2024.</t>
  </si>
  <si>
    <t>US Department of Health and Human Services (DHHS). Guidelines for the use of antiretroviral agents in adults and adolescents living with HIV. February 2024. Available from: https://clinicalinfo.hiv.gov/sites/default/files/guidelines/documents/adult-adolescent-arv/guidelines-adult-adolescent-arv.pdf. Accessed April 2024.</t>
  </si>
  <si>
    <t>Gandhi RT, et al. JAMA. 2023; 329: 63–84.</t>
  </si>
  <si>
    <t>Adapted from EACS guidelines, 2023.</t>
  </si>
  <si>
    <t xml:space="preserve"> Adapted from DHHS guidelines, 2023.
 BIC should not be initiated in pregnant people due to insufficient data in pregnancy. 
TAF and TDF are two forms of tenofovir approved by the US FDA. TAF has fewer bone and kidney toxicities than TDF, while TDF is associated with lower lipid levels. Safety, cost and access are among the factors to consider when choosing between these drugs.
 c should be avoided in pregnancy because lower concentrations of c and its boosted drugs — EVG, DRV, and ATV — have been observed during the second and third trimesters. For individuals with viral suppression who become pregnant while on a c-containing regimen and wish to remain on that regimen after counselling regarding lower drug concentration, frequent viral load monitoring is recommended.</t>
  </si>
  <si>
    <t>Adapted from IAS guidelines, 2022.</t>
  </si>
  <si>
    <t xml:space="preserve">EACS , European AIDS Clinical Society
ART, antiretroviral therapy
NRTI, nucleoside reverse transcriptase inhibitor
INSTI, integrase strand transferase inhibitor
3TC, lamivudine
ABC, abacavir
DTG, dolutegravir
HLA, human leukocyte antigen
EFV, efavirenz
DRV, darunavir
HBsAg, hepatitis B surface antigen
FTC, emtricitabine 
TAF, tenofovir alafenamide fumarate
TDF, tenofovir disoproxil fumarate
XTC, emtricitabine or lamivudine
BIC, bictegravir
BID, twice daily 
RAL, raltegravir
VL, viral load 
PrEP, pre - exposure prophylaxis
DOR, doravirine 
QD, once daily
HSR, hypersensitivity reaction
CVD, cardiovascular disease
P-gp, P-glycoprotein
FRAX, Fracture Risk Assessment Tool
CKD, chronic kidney disease
TB, tuberculosis
RAL, raltegravir
</t>
  </si>
  <si>
    <t>3TC, lamivudine
DTG, dolutegravir 
ABC, abacavir
CAB-LA, cabotegravir long-acting
PrEP, pre-exposure prophylaxis
INSTI, integrase strand transferase inhibitor 
NRTI, nucleoside reverse transcriptase inhibitor 
BIC, bictegravir 
TAF, tenofovir alafenamide fumarate 
FTC, emtricitabine 
HLA , human leukocyte antigen
DHHS, Department of Health and Human Services 
TDF, tenofovir disoproxil fumarate 
RNA , ribonucleic acid
 HBV, hepatitis B virus 
ART, antiretroviral therapy
DRV, darunavir 
ATV, atazanavir
c, cobicistat
FDA , Food and Drug Administration
 r, ritonavir
US, United States</t>
  </si>
  <si>
    <t xml:space="preserve">3TC, lamivudine
ART, antiretroviral therapy
BIC, bictegravir
CAB, cabotegravir
DRV, darunavir
DTG, dolutegravir
FTC, emtricitabine
 HBV, hepatitis B virus
 IAS, International Antiviral Society
 INSTI, integrase strand transferase inhibitor
PI, protease inhibitor
RNA, ribonucleic acid
TAF, tenofovir alafenamide fumarate
TDF, tenofovir disoproxil fumarate 
TXF, tenofovir alafenamide fumarate or tenofovir disoproxil fumarate
XTC, emtricitabine or lamivudine </t>
  </si>
  <si>
    <t>Supporting Claim 4</t>
  </si>
  <si>
    <t>SC4-relationship</t>
  </si>
  <si>
    <t>Supporting Claim 5</t>
  </si>
  <si>
    <t>SC5-relationship</t>
  </si>
  <si>
    <t>Supporting Text4</t>
  </si>
  <si>
    <t>ST4-relationship</t>
  </si>
  <si>
    <t>Supporting Text5</t>
  </si>
  <si>
    <t>ST5-relationship</t>
  </si>
  <si>
    <t>BIKTARVY® bictegravir/emtricitabine/tenofovir alafenamide as 50mg/200mg/25mg
and 30mg/120mg/15mg film-coated tablets.</t>
  </si>
  <si>
    <t>For today, tomorrow, and the days to come</t>
  </si>
  <si>
    <t>BIKTARVY® is indicated for the treatment of human immunodeficiency virus-1 (HIV-1) infection in adults and paediatric patients at least 2 years of age and weighing at least 14 kg without present or past evidence of viral resistance to the integrase inhibitor class, emtricitabine or tenofovir. For paediatric patients ≥2 years of age, weighing at least 14 kg to less than 25 kg, the dose is one 30mg/120 mg/15 mg tablet once daily.</t>
  </si>
  <si>
    <t>Pill not shown at actual size.</t>
  </si>
  <si>
    <t xml:space="preserve">
BIKTARVY® (BIC/FTC/TAF) (50/200/25 mg) Summary of Product characteristics</t>
  </si>
  <si>
    <t>Rapid Start</t>
  </si>
  <si>
    <t>RT-006</t>
  </si>
  <si>
    <t>High barrier
to resistance</t>
  </si>
  <si>
    <t>RT-007</t>
  </si>
  <si>
    <t>Person-centred</t>
  </si>
  <si>
    <t>RT-008</t>
  </si>
  <si>
    <t>Safety &amp;
tolerability</t>
  </si>
  <si>
    <t>RT-009</t>
  </si>
  <si>
    <t>Experience</t>
  </si>
  <si>
    <t>RT-010</t>
  </si>
  <si>
    <t>Illustration of two people sitting</t>
  </si>
  <si>
    <t>At Week 48 (primary endpoint) in pooled data from treatment-naïve participants: efficacy was 91% for BIKTARVY® (n=634) vs 93% (ABC/3TC/DTG [n=315]) in Study 1489
(95% CI: –2.1 [–5.9 to 1.6]) and 93% (FTC/TAF + DTG [n=325]) in Study 1490 (95% CI: –1.9 [–5.6 to 1.8]).1 Efficacy defined as viral load &lt;50 copies/mL.1 In a pooled analysis of both
studies in participants initially randomised to BIKTARVY® (n=634), efficacy was 98.6% (M=E) at Week 240 with 0 treatment-emergent resistance in the final resistance analysis
population.2 At Week 240, M=F efficacy was 67.2%.</t>
  </si>
  <si>
    <t>A retrospective analysis of treatment evaluated analysis evaluated treatment adherence and its effect on virologic outcomes in double-blind, placebo-controlled
clinical studies in TN (1489, 1490, 4458) or VS (1844 and 4030) participants.3 In participants with high adherence (≥95%), virologic suppression was similarly high between treatment
groups (&gt;98%).3 In participants with suboptimal adherence (&lt;85%), BIKTARVY® maintained high levels of virologic suppression (&gt;95%) through 144 weeks with 0 cases of treatmentemergent
resistance.</t>
  </si>
  <si>
    <t>Icon of Rapid Start</t>
  </si>
  <si>
    <t>Icon of guideline</t>
  </si>
  <si>
    <t>RT-011</t>
  </si>
  <si>
    <t>Gs-093</t>
  </si>
  <si>
    <t>M=E, missing=excluded</t>
  </si>
  <si>
    <t xml:space="preserve">M=F, missing=failure
</t>
  </si>
  <si>
    <t>Comp-016</t>
  </si>
  <si>
    <t>3TC, lamivudine; ABC, abacavir; ATV, atazanavir; BIC, bictegravir; CAB, cabotegravir; CI, confidence interval; DRV, darunavir; DTG, dolutegravir; FTC, emtricitabine;
M=E, missing=excluded; RNA, ribonucleic acid; RPV, rilpivirine; TAF, tenofovir alafenamide fumarate; TDF, tenofovir disoproxil fumarate</t>
  </si>
  <si>
    <t>PM5</t>
  </si>
  <si>
    <t>BIKTARVY® shows high effectiveness over three years in the real-world BICSTaR study</t>
  </si>
  <si>
    <t>RT-012</t>
  </si>
  <si>
    <t>RT-013</t>
  </si>
  <si>
    <t>Comp-017</t>
  </si>
  <si>
    <t>BIKTARVY®: high effectiveness chart</t>
  </si>
  <si>
    <t>Comp-018</t>
  </si>
  <si>
    <t>Late presenters icon</t>
  </si>
  <si>
    <t>Comorbidities Icon</t>
  </si>
  <si>
    <t>Concomitant medications Icon</t>
  </si>
  <si>
    <t>Fn-018</t>
  </si>
  <si>
    <t>Fn-019</t>
  </si>
  <si>
    <t>Fn-020</t>
  </si>
  <si>
    <t>Ref-035</t>
  </si>
  <si>
    <t>Ref-036</t>
  </si>
  <si>
    <t>Ref-037</t>
  </si>
  <si>
    <t xml:space="preserve"> Schellberg S, et al. Deutsch-Österreichischer AIDS-Kongress (DÖAK) 2023, 23-25 March; Bonn, Germany. Poster 80874. </t>
  </si>
  <si>
    <t>Cl-020</t>
  </si>
  <si>
    <t>PM6</t>
  </si>
  <si>
    <t>BIKTARVY® Shows 0 Treatment-Emergent Resistance in Diverse Patient Populations</t>
  </si>
  <si>
    <t>RT-014</t>
  </si>
  <si>
    <t>RT-015</t>
  </si>
  <si>
    <t>RT-016</t>
  </si>
  <si>
    <t>RT-017</t>
  </si>
  <si>
    <t>RT-018</t>
  </si>
  <si>
    <t>Fn-021</t>
  </si>
  <si>
    <t>Fn-022</t>
  </si>
  <si>
    <t>Fn-023</t>
  </si>
  <si>
    <t>Fn-024</t>
  </si>
  <si>
    <t>Fn-025</t>
  </si>
  <si>
    <t>Fn-026</t>
  </si>
  <si>
    <t>Comp-023</t>
  </si>
  <si>
    <t>Comp-024</t>
  </si>
  <si>
    <t>Comp-025</t>
  </si>
  <si>
    <t>Comp-026</t>
  </si>
  <si>
    <t>Ref-038</t>
  </si>
  <si>
    <t>Ref-039</t>
  </si>
  <si>
    <t>Ref-040</t>
  </si>
  <si>
    <t>Ref-041</t>
  </si>
  <si>
    <t>Ref-042</t>
  </si>
  <si>
    <t>Ref-043</t>
  </si>
  <si>
    <t>Gs-012</t>
  </si>
  <si>
    <t>Cl-021</t>
  </si>
  <si>
    <t>PM7</t>
  </si>
  <si>
    <t>BIKTARVY® Supports Rapid Treatment Initiation in Alignment with Treatment Guidelines</t>
  </si>
  <si>
    <t>Cl-022</t>
  </si>
  <si>
    <t>Cl-023</t>
  </si>
  <si>
    <t>RT-019</t>
  </si>
  <si>
    <t>RT-020</t>
  </si>
  <si>
    <t>RT-021</t>
  </si>
  <si>
    <t>RT-022</t>
  </si>
  <si>
    <t>Comp-027</t>
  </si>
  <si>
    <t>Comp-028</t>
  </si>
  <si>
    <t>Comp-029</t>
  </si>
  <si>
    <t>Comp-030</t>
  </si>
  <si>
    <t>RT-023</t>
  </si>
  <si>
    <t>Fn-027</t>
  </si>
  <si>
    <t>Fn-028</t>
  </si>
  <si>
    <t>Gs-013</t>
  </si>
  <si>
    <t>Ref-044</t>
  </si>
  <si>
    <t>Ref-045</t>
  </si>
  <si>
    <t>Cl-024</t>
  </si>
  <si>
    <t>PM8</t>
  </si>
  <si>
    <t xml:space="preserve">BIKTARVY® Enables Rapid Initiation with a Robust Regimen in Clinical Trials and Real-World </t>
  </si>
  <si>
    <t>Comp-031</t>
  </si>
  <si>
    <t>Fn-029</t>
  </si>
  <si>
    <t>Ref-046</t>
  </si>
  <si>
    <t>Gs-014</t>
  </si>
  <si>
    <t>Cl-025</t>
  </si>
  <si>
    <t>PM9</t>
  </si>
  <si>
    <t>BIKTARVY®: Recommended by Treatment Guidelines</t>
  </si>
  <si>
    <t>Cl-026</t>
  </si>
  <si>
    <t>Comp-032</t>
  </si>
  <si>
    <t>HIV Regimens Table</t>
  </si>
  <si>
    <t>RT-024</t>
  </si>
  <si>
    <t>Cl-027</t>
  </si>
  <si>
    <t>RT-025</t>
  </si>
  <si>
    <t>Fn-030</t>
  </si>
  <si>
    <t>Ref-047</t>
  </si>
  <si>
    <t>Gs-015</t>
  </si>
  <si>
    <t>Ref-048</t>
  </si>
  <si>
    <t>Fn-031</t>
  </si>
  <si>
    <t>Gs-016</t>
  </si>
  <si>
    <t>Gs-017</t>
  </si>
  <si>
    <t>Ref-049</t>
  </si>
  <si>
    <t>Fn-032</t>
  </si>
  <si>
    <t>Gs-018</t>
  </si>
  <si>
    <t>Cl-028</t>
  </si>
  <si>
    <t>PM10</t>
  </si>
  <si>
    <t>BIKTARVY®: Proven real-world forgiveness when life happens and doses are unintentionally missed, despite suboptimal ART adherence.</t>
  </si>
  <si>
    <t>Cl-086</t>
  </si>
  <si>
    <t>Proven forgiveness in the real world</t>
  </si>
  <si>
    <t>Ref-050</t>
  </si>
  <si>
    <t>Fn-033</t>
  </si>
  <si>
    <t>Ref-124</t>
  </si>
  <si>
    <t>Maggiolo F, et al. J Int Assoc Provid AIDS Care. 2022; 21: 23259582221140208.
Maggiolo F, et al. J Int Assoc Provid AIDS Care. 2022; 21: 23259582221101815.</t>
  </si>
  <si>
    <t>Ref-051</t>
  </si>
  <si>
    <t>Fn-034</t>
  </si>
  <si>
    <t>Gs-019</t>
  </si>
  <si>
    <t>Cl-031</t>
  </si>
  <si>
    <t>Cl-032</t>
  </si>
  <si>
    <t>Fn-111</t>
  </si>
  <si>
    <t>Ref-125</t>
  </si>
  <si>
    <r>
      <t>Biktarvy</t>
    </r>
    <r>
      <rPr>
        <sz val="11"/>
        <color theme="1"/>
        <rFont val="Aptos Narrow"/>
        <family val="2"/>
      </rPr>
      <t>®</t>
    </r>
    <r>
      <rPr>
        <sz val="11"/>
        <color theme="1"/>
        <rFont val="Calibri"/>
        <family val="2"/>
      </rPr>
      <t xml:space="preserve"> (BIC/FTC/TAF) Summary of Product Characteristics</t>
    </r>
  </si>
  <si>
    <t>Comp-033</t>
  </si>
  <si>
    <t>Globe Icon</t>
  </si>
  <si>
    <t>Comp-034</t>
  </si>
  <si>
    <t>Upward arrow Icon</t>
  </si>
  <si>
    <t>Comp-035</t>
  </si>
  <si>
    <t>Forgiveness Icon</t>
  </si>
  <si>
    <t>Fn-112</t>
  </si>
  <si>
    <t>Two separate retrospective analyses evaluated adherence to and forgiveness of BIKTARVY® (n=281) and 3TC/DTG (n=240), respectively, in a single-centre unselected cohort. Adherence was measured by means of percent days covered (PDC), calculated using drug refills. In participants treated with BIKTARVY®, PDC as low as 70% was sufficient to obtain virologic suppression of HIV RNA &lt;50 copies/mL.</t>
  </si>
  <si>
    <t>Cl-033</t>
  </si>
  <si>
    <t>PM11</t>
  </si>
  <si>
    <t>Real-world ART adherence remains suboptimal</t>
  </si>
  <si>
    <t>Cl-034</t>
  </si>
  <si>
    <t>Cl-035</t>
  </si>
  <si>
    <t>Cl-036</t>
  </si>
  <si>
    <t>RT-026</t>
  </si>
  <si>
    <t>Ref-052</t>
  </si>
  <si>
    <t>Ref-053</t>
  </si>
  <si>
    <t>Fn-035</t>
  </si>
  <si>
    <t>Fn-036</t>
  </si>
  <si>
    <t>Virologic non-suppression was self-reported</t>
  </si>
  <si>
    <t>Gs-020</t>
  </si>
  <si>
    <t>Gs-021</t>
  </si>
  <si>
    <t>US, United States</t>
  </si>
  <si>
    <t>Gs-022</t>
  </si>
  <si>
    <t>Fn-037</t>
  </si>
  <si>
    <t>Comp-036</t>
  </si>
  <si>
    <t>Comp-037</t>
  </si>
  <si>
    <t>Comp-038</t>
  </si>
  <si>
    <t>Comp-039</t>
  </si>
  <si>
    <t>Cl-037</t>
  </si>
  <si>
    <t>PM12</t>
  </si>
  <si>
    <t>BIKTARVY® Shows Forgiveness in Phase 3 Clinical Studies</t>
  </si>
  <si>
    <t>Cl-038</t>
  </si>
  <si>
    <t>Cl-039</t>
  </si>
  <si>
    <t>RT-027</t>
  </si>
  <si>
    <t>Comp-083</t>
  </si>
  <si>
    <t>Efficacy graph of BIKTARVY® vs DTG + 2 NRTI regimens</t>
  </si>
  <si>
    <t>Ref-054</t>
  </si>
  <si>
    <t>Fn-038</t>
  </si>
  <si>
    <t xml:space="preserve">Forgiveness is defined as the ability of a given regimen to achieve and maintain virological suppression despite imperfect adherence.
</t>
  </si>
  <si>
    <t>Fn-039</t>
  </si>
  <si>
    <t xml:space="preserve">A retrospective analysis evaluated treatment adherence and its effect on virologic outcomes in double-blind, placebo-controlled clinical studies in treatment-naïve (1489, 1490, 4458) or virologically suppressed (1844 and 4030) participants. Participants with 21 returned pill bottle and 21 on-treatment HIV-1 RNA measurement were included in the analysis. Adherence was measured by the number of pills taken divided by the number of pills prescribed. Assessment was limited to returned pill bottles.
</t>
  </si>
  <si>
    <t>Fn-040</t>
  </si>
  <si>
    <t>DTG + 2 NRTI regimens included: Study 1489, ABC/3TC/DTG (n=314) and Study 1490, DTG + FTC/TAF (n=323).</t>
  </si>
  <si>
    <t>Fn-041</t>
  </si>
  <si>
    <t>Two participants in Study 1489 randomised to ABC/3TC/DTG were found to have &gt;200 copies/mL and emergent M184V resistance at their last visit during the blinded phase and were resuppressed on BIKTARVY</t>
  </si>
  <si>
    <t>Fn-042</t>
  </si>
  <si>
    <t>If the patient misses a dose of BIKTARVY® within 18 hours of the time it is usually taken, the patient should
take BIKTARVY® as soon as possible and resume the normal dosing schedule</t>
  </si>
  <si>
    <t>Gs-023</t>
  </si>
  <si>
    <t>Fn-043</t>
  </si>
  <si>
    <t>Adapted from Andreatta K, et al. Infectious Diseases (ID) Week 2023.</t>
  </si>
  <si>
    <t>Gs-024</t>
  </si>
  <si>
    <t>3TC, lamivudine; ABC, abacavir; ART, antiretroviral therapy; BIC, bictegravir; DTG, dolutegravir; FTC, emtricitabine; NRTI, nucleoside reverse transcriptase inhibitor;
RNA, ribonucleic acid; TAF, tenofovir alafenamide fumarate</t>
  </si>
  <si>
    <t>Ref-055</t>
  </si>
  <si>
    <t>Shuter J , et al . J Antimicrob Chemother . 2008 ; 61 : 769-773</t>
  </si>
  <si>
    <t>Ref-056</t>
  </si>
  <si>
    <t>BIKTARVY® ( BIC / FTC / TAF ) Summary of Product Characteristics</t>
  </si>
  <si>
    <t>Cl-040</t>
  </si>
  <si>
    <t>BIKTARVY®: proven forgiveness* in the real world</t>
  </si>
  <si>
    <t>PM13</t>
  </si>
  <si>
    <t>BIKTARVY® Demonstrates Proven Forgiveness in Real-World Settings</t>
  </si>
  <si>
    <t>RT-028</t>
  </si>
  <si>
    <t>Forgiveness for BIKTARVY® and 3TC/DTG were assessed in two separate retrospective, single-centre analyses measuring PDC calculated using drug refills</t>
  </si>
  <si>
    <t>RT-029</t>
  </si>
  <si>
    <t>Virologic response of BIKTARVY® by adherence levels (not a head-to-head analysis)</t>
  </si>
  <si>
    <t>Fn-044</t>
  </si>
  <si>
    <t>Adapted from Maggiolo F, et al. J Int Assoc Provid AIDS Care. 2022</t>
  </si>
  <si>
    <t>Fn-045</t>
  </si>
  <si>
    <t>Forgiveness is defined as the ability of a given regimen to achieve and maintain virological suppression despite imperfect adherence.</t>
  </si>
  <si>
    <t>Fn-046</t>
  </si>
  <si>
    <t>Two separate retrospective analyses
evaluated adherence to and forgiveness of BIKTARVY® (n=281) and 3TC/DTG (n=240), respectively, in a single-centre unselected cohort.1,2 Adherence was measured by means of
percent days covered (PDC), calculated using drug refills.1,2 Participants were included if they had a minimum of two drugs refills.1,2 The analysis included people with HIV prescribed
BIKTARVY® from January 2020 to March 2022.</t>
  </si>
  <si>
    <t>Fn-047</t>
  </si>
  <si>
    <t>In the BIKTARVY® analysis five patients were non-responders and 37 subjects presented an isolated viral blip, 34 of which between
50 and 200 copies/mL.1 In the 3TC/DTG analysis 10 patients were non-responders and 29 subjects presented an isolated viral blip</t>
  </si>
  <si>
    <t>Fn-048</t>
  </si>
  <si>
    <t>If the patient misses a dose of BIKTARVY®
within 18 hours of the time it is usually taken, the patient should take BIKTARVY® as soon as possible and resume the normal dosing schedule</t>
  </si>
  <si>
    <t>Fn-049</t>
  </si>
  <si>
    <t>N numbers were not reported</t>
  </si>
  <si>
    <t>Comp-040</t>
  </si>
  <si>
    <t>Virologic response of BIKTARVY Chart</t>
  </si>
  <si>
    <t>RT-112</t>
  </si>
  <si>
    <t>Virologic response of 3TC/DTG by adherence levels (not a head-to-head analysis)</t>
  </si>
  <si>
    <t>Comp-041</t>
  </si>
  <si>
    <t>Virologic response of 3TC/DTG Chart</t>
  </si>
  <si>
    <t>Fn-110</t>
  </si>
  <si>
    <t>In the BIKTARVY® analysis five patients were non-responders and 37 subjects presented an isolated viral blip, 34 of which between 50 and 200 copies/mL. In the 3TC/DTG analysis 10 patients were non-responders and 29 subjects presented an isolated viral blip.</t>
  </si>
  <si>
    <t>Fn-050</t>
  </si>
  <si>
    <t>Gs-094</t>
  </si>
  <si>
    <t>3TC, lamivudine
PDC, percent days covered
DTG, dolutegravir</t>
  </si>
  <si>
    <t>Gs-095</t>
  </si>
  <si>
    <t>3TC, lamivudine
DTG, dolutegravir</t>
  </si>
  <si>
    <t>Gs-096</t>
  </si>
  <si>
    <t>VL, viral load
PDC, percent days covered</t>
  </si>
  <si>
    <t>Gs-025</t>
  </si>
  <si>
    <t>3TC, lamivudine; ART, antiretroviral therapy; BIC, bictegravir; DTG, dolutegravir; FTC, emtricitabine; PDC, percent days covered;
TAF, tenofovir alafenamide fumarate; VL, viral load.</t>
  </si>
  <si>
    <t>Ref-120</t>
  </si>
  <si>
    <t>Maggiolo F, et al. J Int Assoc Provid AIDS Care. 2022; 21: 23259582221101815</t>
  </si>
  <si>
    <t>Ref-057</t>
  </si>
  <si>
    <t>Ref-058</t>
  </si>
  <si>
    <t>Maggiolo F, et al. J Int Assoc Provid AIDS Care. 2022; 21: 23259582221140208.</t>
  </si>
  <si>
    <t>Cl-041</t>
  </si>
  <si>
    <t>BIKTARVY®: Well-tolerated and easy to manage with ≤1% discontinuation</t>
  </si>
  <si>
    <t>PM14</t>
  </si>
  <si>
    <t>BIKTARVY®: ≤1% Discontinuation with a Well-Tolerated, Easy-to-Manage Profile</t>
  </si>
  <si>
    <t>Cl-042</t>
  </si>
  <si>
    <t>With over 3.1 million person-years of cumulative exposure, BIKTARVY® has a trusted tolerability profile across a broad spectrum of people with HIV in clinical trials and the real world</t>
  </si>
  <si>
    <t>Cl-043</t>
  </si>
  <si>
    <t>Demonstrated tolerability in clinical trials across diverse populations</t>
  </si>
  <si>
    <t>Cl-044</t>
  </si>
  <si>
    <t>Established CNS tolerability profile</t>
  </si>
  <si>
    <t>Cl-045</t>
  </si>
  <si>
    <t>High treatment adherence, persistence and satisfaction</t>
  </si>
  <si>
    <t>Cl-046</t>
  </si>
  <si>
    <t>Simple STR in a small tablet</t>
  </si>
  <si>
    <t>Ref-059</t>
  </si>
  <si>
    <t xml:space="preserve">BIKTARVY® (BIC/FTC/TAF) Summary of Product Characteristics.
Sax PE, et al. eClinicalMedicine. 2023; 59: 101991.
Brar I, et al. Infectious Disease (ID) Week 2020, 21-25 October; Virtual. Poster 1028.
Rockstroh JK, et al. HIV Glasgow 2020, 5–8 October; Glasgow, UK. Poster 036. </t>
  </si>
  <si>
    <t>Ref-060</t>
  </si>
  <si>
    <t>BIKTARVY® (BIC/FTC/TAF ) Summary of Product Characteristics.
Sax PE, et al. eClinical Medicine. 2023; 59: 101991.
Brar I, et al. Infectious Disease (ID) Week 2020, 21-25 October; Virtual. Poster 1028.
Rockstroh JK, et al. HIV Glasgow 2020, 5-8 October; Glasgow, UK. Poster 036.
Avihingsanon A, et al. Lancet HIV. 2023; 10: e640-e652.
Kityo C, et al. International AIDS Society  (IAS) 2019, 21-24 July; Mexico City, Mexico. Presentation MOAB0106.
Natukunda E, et al. International Workshop on HIV Pediatrics 2021, 16-17 July; Virtual. Oral 2.
Rodriguez C, et al. International Workshop on HIV Pediatrics 2022, 27-28 July; Montréal, Canada. Oral 2.
Hagins D, et al. J Acquir Immune Defic Syndr. 2021; 88: 86–95.
Maggiolo F, et al. HIV Med. 2023; 24: 27-36.
Wohl DA, et al. Patient. 2018; 11: 561-573.
Knechten H, et al. HIV Glasgow 2020, 5-8 October; Glasgow, UK. Poster 053.
Brunetta J, et al. European AIDS Conference (EACS) 2021, 27-30 October; London, UK. Poster E2/50.
Trottier B, et al. HIV Glasgow 2022, 23-26 October; Glasgow, UK. Poster P067.
Mallolas A, et al. European AIDS Conference (EACS) 2021, 27-30 October; London, UK. Poster PE2/57.
Sabranski M, et al. European AIDS Conference (EACS) 2023, 18-21 October; Warsaw, Poland. Poster eP.A.081.</t>
  </si>
  <si>
    <t>Ref-061</t>
  </si>
  <si>
    <t>Avihingsanon A, et al. Lancet HIV. 2023; 10: e640-e652.
Kityo C, et al. International AIDS Society  (IAS) 2019, 21-24 July; Mexico City, Mexico. Presentation MOAB0106.
Natukunda E, et al. International Workshop on HIV Pediatrics 2021, 16-17 July; Virtual. Oral 2
Rodriguez C, et al. International Workshop on HIV Pediatrics 2022, 27-28 July; Montréal, Canada. Oral 2.
Hagins D, et al. J Acquir Immune Defic Syndr. 2021; 88: 86–95.
Maggiolo F, et al. HIV Med. 2023; 24: 27-36.</t>
  </si>
  <si>
    <t>Ref-062</t>
  </si>
  <si>
    <t>Wohl DA, et al. Patient. 2018; 11: 561-573.
Knechten H, et al. HIV Glasgow 2020, 5-8 October; Glasgow, UK. Poster 053.</t>
  </si>
  <si>
    <t>Ref-063</t>
  </si>
  <si>
    <t>Brunetta J, et al. European AIDS Conference (EACS) 2021, 27-30 October; London, UK. Poster E2/50.
Trottier B, et al. HIV Glasgow 2022, 23-26 October; Glasgow, UK. Poster P067.</t>
  </si>
  <si>
    <t>Ref-064</t>
  </si>
  <si>
    <t>BIKTARVY® (BIC/FTC/TAF ) Summary of Product Characteristics.</t>
  </si>
  <si>
    <t>Fn-051</t>
  </si>
  <si>
    <t>Small STR once a day without food restrictions. Each BIKTARVY® tablet is approximately 15 mm x 8 mm.
In clinical studies of treatment-naïve participants receiving BIKTARVY® through 144 weeks, the most frequently reported AEs were headache (5%), diarrhoea (5%) and nausea (4%). At Week 240, &lt;1% (n=5/634) discontinuation due to TRAES was observed in participants initially randomised to BIKTARVY®. In clinical studies in virologically suppressed participants, 1% of participants discontinued treatment with BIKTARVY®
due to AEs through the open-label extension phase of either study (N=1081). In the BICSTaR real-world study of BIKTARVY® (n=1135) at Month 12 the most frequently reported TRAES were: weight increase (3%), nausea (1%), depression (1%), headache (1%), diarrhoea (1%) and sleep disorder (1%). At Month 24, the most common TRAES leading to discontinuation were weight increase (2%) and depression (1%) (n=781). There were 0 discontinuations due to TRAEs between Months 24 and 36 (n=379).</t>
  </si>
  <si>
    <t>Fn-052</t>
  </si>
  <si>
    <t>In clinical studies of treatment-naïve participants receiving BIKTARVY® through 144 weeks, the most frequently reported AEs were headache (5%), diarrhoea (5%) and nausea (4%). At Week 240, &lt;1% (n=5/634) discontinuation due to TRAES was observed in participants initially randomised to BIKTARVY®. In clinical studies in virologically suppressed participants, 1% of participants discontinued treatment with BIKTARVY®
due to AEs through the open-label extension phase of either study (N=1081). In the BICSTaR real-world study of BIKTARVY® (n=1135) at Month 12 the most frequently reported TRAES were: weight increase (3%), nausea (1%), depression (1%), headache (1%), diarrhoea (1%) and sleep disorder (1%). At Month 24, the most common TRAES leading to discontinuation were weight increase (2%) and depression (1%) (n=781). There were 0 discontinuations due to TRAEs between Months 24 and 36 (n=379).
As of October 2023.</t>
  </si>
  <si>
    <t>Fn-053</t>
  </si>
  <si>
    <t>Small STR once a day without food restrictions. Each BIKTARVY® tablet is approximately 15 mm x 8 mm.</t>
  </si>
  <si>
    <t>Gs-026</t>
  </si>
  <si>
    <t>CNS, central nervous system</t>
  </si>
  <si>
    <t>Gs-027</t>
  </si>
  <si>
    <t>Comp-042</t>
  </si>
  <si>
    <t>Diverse population icon</t>
  </si>
  <si>
    <t>Comp-043</t>
  </si>
  <si>
    <t>CNS icon</t>
  </si>
  <si>
    <t>Comp-044</t>
  </si>
  <si>
    <t>Thumps up Icon</t>
  </si>
  <si>
    <t>Comp-045</t>
  </si>
  <si>
    <t>Simple STR icon</t>
  </si>
  <si>
    <t>Cl-047</t>
  </si>
  <si>
    <t>BIKTARVY®: ≤1% discontinuation rate due to TRAEs in pivotal Phase 3 clinical trials</t>
  </si>
  <si>
    <t>PM15</t>
  </si>
  <si>
    <t>BIKTARVY® Demonstrates ≤1% Discontinuation Due to TRAEs in Pivotal Phase 3 Trials</t>
  </si>
  <si>
    <t>Cl-048</t>
  </si>
  <si>
    <t>&lt;1% discontinuations rate to TRAEs in 634 participants through 240 weeks</t>
  </si>
  <si>
    <t>Cl-049</t>
  </si>
  <si>
    <t>≤1% discontinuation rate due to TRAEs in 547 and 534 virologically suppressed participants through 168 and 96 weeks, respectively</t>
  </si>
  <si>
    <t>RT-030</t>
  </si>
  <si>
    <t>Treatment-naïve</t>
  </si>
  <si>
    <t>RT-031</t>
  </si>
  <si>
    <t>Virologically suppressed</t>
  </si>
  <si>
    <t>RT-032</t>
  </si>
  <si>
    <t>Discontinuations in Phase 3 trials</t>
  </si>
  <si>
    <t>RT-033</t>
  </si>
  <si>
    <t>TRAEs in pivotal trials</t>
  </si>
  <si>
    <t>Fn-054</t>
  </si>
  <si>
    <t xml:space="preserve"> In clinical studies of treatment-naïve participants receiving BIKTARVY®, the most frequently reported adverse reactions were headache (5%), diarrhoea (5%) and nausea (4%). At Week 240, five participants initially randomised to BIKTARVY® discontinued due to TRAEs, these were: (chest pain [n-1]; abdominal distension [n=1]; depression [n-1]; obesity [n=1]; sleep disorder, dyspepsia, tension headache, depressed mood, and insomnia all occurred in 1 participant).</t>
  </si>
  <si>
    <t>Fn-055</t>
  </si>
  <si>
    <t xml:space="preserve">1% (n=7/547) of Study 1844 participants and &lt;1% (n=4/534) of Study 1878 participants discontinued BIKTARVY® due to TRAEs through open-label extension Weeks 168 and 96, respectively. In Study 1844, most TRAEs were Grade 1, the most common of which was headache (2%); 1 participant had an AE leading to discontinuation in the open-label extension (treatment-related headache). In Study 1878, AEs leading to discontinuation were: diarrhoea and vomiting (n=1); rash and pruritis (n=1); insomnia (n=1); suicidal ideation (n=1). </t>
  </si>
  <si>
    <t>Ref-065</t>
  </si>
  <si>
    <t>Sax PE, et al. eClinical Medicine. 2023; 59: 101991.
Brar I, et al. Infectious Diseases (ID) Week 2020, 21-25 October; Virtual. Poster 1028.
Rockstroh JK, et al. HIV Glasgow 2020, 5-8 October; Glasgow, UK. Poster 036. 
BIKTARVY® (BIC/FTC/TAF) Summary of Product Characteristics.</t>
  </si>
  <si>
    <t>Ref-066</t>
  </si>
  <si>
    <t>Ref-067</t>
  </si>
  <si>
    <t>Brar I, et al. Infectious Diseases (ID) Week 2020, 21-25 October; Virtual. Poster 1028.
Rockstroh JK, et al. HIV Glasgow 2020, 5-8 October; Glasgow, UK. Poster 036.</t>
  </si>
  <si>
    <t>Gs-098</t>
  </si>
  <si>
    <t>TRAE, treatment-related adverse event.</t>
  </si>
  <si>
    <t>Gs-028</t>
  </si>
  <si>
    <t>AE, adverse event; BIC, bictegravir; CNS, central nervous system; FTC, emtricitabine; TAF, tenofovir alafenamide fumarate; TRAE, treatment-related adverse event.</t>
  </si>
  <si>
    <t>Cl-050</t>
  </si>
  <si>
    <t>BIKTARVY®: low discontinuations across Phase 3 trials</t>
  </si>
  <si>
    <t>Comp-046</t>
  </si>
  <si>
    <t>Discontinuation Rate Table</t>
  </si>
  <si>
    <t>Gs-029</t>
  </si>
  <si>
    <t>HBV, hepatitis B virus; TRAE, treatment-related adverse event</t>
  </si>
  <si>
    <t>Ref-068</t>
  </si>
  <si>
    <t>Avihingsanon A, et al. Lancet HIV. 2023; 10: e640-e652.
Kityo C, et al. International AIDS Society (IAS) 2019, 21-24 July; Mexico City, Mexico . Presentation MOAB0106.
Natukunda E, et al. International Workshop on HIV Pediatrics 2021, 16-17 July; Virtual. Oral 2.
Rodriguez C, et al. International Workshop on HIV Pediatrics 2022, 27-28 July; Montréal, Canada. Oral 2.
Hagins D , et al . J Acquir Immune Defic Syndr . 2021 ; 88 : 86-95 .
Maggiolo F, et al. HIV Med 2023; 24: 27-36.</t>
  </si>
  <si>
    <t>Cl-051</t>
  </si>
  <si>
    <t>BIKTARVY®: significantly fewer all-grade TRAEs than DTG plus ABC/3TC or FTC/TAF in clinical trials</t>
  </si>
  <si>
    <t>RT-034</t>
  </si>
  <si>
    <t>In treatment-naïve participants through 48 weeks (secondary endpoint)</t>
  </si>
  <si>
    <t>RT-035</t>
  </si>
  <si>
    <t>In virologically suppressed participants through 48 weeks (secondary endpoint)</t>
  </si>
  <si>
    <t>Comp-047</t>
  </si>
  <si>
    <t>TRAEs in clinical trial Chart</t>
  </si>
  <si>
    <t>Ref-069</t>
  </si>
  <si>
    <t xml:space="preserve">Gallant J, et al. Lancet. 201; 390: 2063-2072.
Gilead. Data on file. BVY002. June 2018.
Sax PE, et al. Lancet. 2017; 390: 2073-2082.
Molina JM, et al. Lancet HIV. 2018; 5: e357-e365.
</t>
  </si>
  <si>
    <t>Fn-056</t>
  </si>
  <si>
    <t xml:space="preserve">At Week 144 in participants receiving BIKTARVY®, the most frequently reported study-drug-related adverse reactions (≥5%) in Study 1489 were diarrhoea 6% (n=19/314), nausea 6% (n=18/314) and headache 5% (n=16/314); in Study 1490 they were headache 4% (n=14/320), diarrhoea 3% (n=10/320) and nausea 3% (n=10/320).
</t>
  </si>
  <si>
    <t>Gs-030</t>
  </si>
  <si>
    <t>TRAE, treatment-related adverse event
DTG, dolutegravir
ABC, abacavir
3TC, lamivudine
FTC, emtricitabine
TAF, tenofovir alafenamide fumarate</t>
  </si>
  <si>
    <t>Ref-070</t>
  </si>
  <si>
    <t>Gallant J, et al. Lancet. 201; 390: 2063-2072.
Gilead. Data on file. BVY002. June 2018.
Sax PE, et al. Lancet. 2017; 390: 2073-2082.</t>
  </si>
  <si>
    <t>Ref-071</t>
  </si>
  <si>
    <t>Molina JM, et al. Lancet HIV. 2018; 5: e357-e365.</t>
  </si>
  <si>
    <t>Fn-057</t>
  </si>
  <si>
    <t xml:space="preserve"> The primary endpoint of Studies 1489 and 1490 was the proportion of participants with HIV-1 RNA &lt;50 copies/mL at Week 48. At Week 48 in pooled data from treatment-naïve participants: efficacy was 91% for BIKTARVY® (pooled [n=634]) vs 93% (ABC/3TC/DTG [n=315]) in Study 1489 (95% CI: -2.1 [-5.9 to 1.6]) and 93% (FTC/TAF + DTG [n=325]) in Study 1490 (95% CI: -1.9 [-5.6 to 1.8]). </t>
  </si>
  <si>
    <t>Fn-058</t>
  </si>
  <si>
    <t>The primary endpoint of Study 1844 was the proportion of participants with HIV-1 RNA ≥50 copies/mL at Week 48. At Week 48 in Study 1844 (BIKTARVY® [n=282] vs ABC/3TC/DTG [n=281]) efficacy was 94% vs 95% (95% CI: -1.4 [-5.5 to 2.6]). p value calculated using Fisher exact test.</t>
  </si>
  <si>
    <t>Gs-031</t>
  </si>
  <si>
    <t>ABC, abacavir
3TC, lamivudine
DTG, dolutegravir
FTC, emtricitabine
TAF, tenofovir alafenamide fumarate</t>
  </si>
  <si>
    <t>Cl-052</t>
  </si>
  <si>
    <t>BIKTARVY®: significantly fewer all-grade TRAEs than DTG plus ABC/3TC in treatment-naïve participants in clinical trials</t>
  </si>
  <si>
    <t>RT-036</t>
  </si>
  <si>
    <t>Any TRAE (all grades) at Week 96 (secondary endpoint)</t>
  </si>
  <si>
    <t>Any TRAE (all grades) at Week 144 (secondary endpoint)</t>
  </si>
  <si>
    <t>Comp-048</t>
  </si>
  <si>
    <t>TRAEs in  treatment naive Chart</t>
  </si>
  <si>
    <t>Ref-072</t>
  </si>
  <si>
    <t>Wohl DA, et al. Lancet HIV. 2019; 6: e355-e363.
Stellbrink HJ, et al. Lancet HIV. 2019; 6: e364-e372.
Orkin C, et al. Lancet HIV. 2020; 7: e389-e400 .
Gallant J, et al  Lancet. 2017; 390: 2063-2072</t>
  </si>
  <si>
    <t>Fn-059</t>
  </si>
  <si>
    <t>Gs-032</t>
  </si>
  <si>
    <t>3TC, lamivudine
ABC, abacavir
DTG, dolutegravir
TRAE, treatment-related adverse event</t>
  </si>
  <si>
    <t>Ref-073</t>
  </si>
  <si>
    <t xml:space="preserve">Wohl DA, et al. Lancet HIV. 2019; 6: e355-e363.
Stellbrink HJ, et al. Lancet HIV. 2019; 6: e364-e372.
</t>
  </si>
  <si>
    <t>Ref-074</t>
  </si>
  <si>
    <t>Orkin C, et al. Lancet HIV. 2020; 7: e389-e400 .</t>
  </si>
  <si>
    <t>Fn-060</t>
  </si>
  <si>
    <t xml:space="preserve"> The primary endpoint of Studies 1489 and 1490 was the proportion of participants with HIV-1 RNA &lt;50 copies/mL at Week 48. At Week 48 in pooled data from treatment-naïve participants: efficacy was 91% for BIKTARVY® (pooled [n=634]) vs 93% (ABC/3TC/DTG [n=315]) in Study 1489 (95% CI: -2.1 [-5.9 to 1.6]) and 93% (FTC/TAF + DTG [n=325]) in Study 1490 (95% CI: -1.9 [-5.6 to 1.8]). 
</t>
  </si>
  <si>
    <t>Fn-061</t>
  </si>
  <si>
    <t>No single adverse event met the 5% threshold for statistical comparison between groups in Study 1490 at Week 144.</t>
  </si>
  <si>
    <t>Gs-033</t>
  </si>
  <si>
    <t>TRAE, treatment-related adverse event</t>
  </si>
  <si>
    <t>Gs-034</t>
  </si>
  <si>
    <t>Cl-053</t>
  </si>
  <si>
    <t>BIKTARVY®: improvements in mental health at 3 years in the BICSTaR real-world study</t>
  </si>
  <si>
    <t>PM16</t>
  </si>
  <si>
    <t>BIKTARVY® Demonstrates Mental Health Improvements at 3 Years in the BICSTaR Real-World Study</t>
  </si>
  <si>
    <t>Mental health component scores (SF-36: MCS)</t>
  </si>
  <si>
    <t>Scores &gt;50 represents better than average function compared with the US general population</t>
  </si>
  <si>
    <t>Ref-126</t>
  </si>
  <si>
    <t>Schellberg S, et al. Deutsch-Österreichischer AIDS-Kongress (DÖAK) 2023, 23–25 March; Bonn, Germany. Poster 80874.</t>
  </si>
  <si>
    <t>Gs-099</t>
  </si>
  <si>
    <t>MCS, mental component summary
SF-36, 36-Item Short Form Survey</t>
  </si>
  <si>
    <t>Gs-100</t>
  </si>
  <si>
    <t>Comp-049</t>
  </si>
  <si>
    <t>Mental health component scores Chart</t>
  </si>
  <si>
    <t>Gs-101</t>
  </si>
  <si>
    <t>SF-36, 36-Item Short Form Survey; US, United States</t>
  </si>
  <si>
    <t>Fn-062</t>
  </si>
  <si>
    <t>Adapted from Schellberg S, et al. Deutsch-Österreichischer AIDS-Kongress (DÖAK) 2023.</t>
  </si>
  <si>
    <t>Fn-063</t>
  </si>
  <si>
    <t>Data from interim analysis of 781 participants from Canada, France and Germany.1 Participants were included in MCS analysis if data were available at baseline and at Year 3.1
19% of treatment-naïve and 32% of treatment-experienced participants had a neuropsychiatric condition at baseline.</t>
  </si>
  <si>
    <t>Fn-064</t>
  </si>
  <si>
    <t>Scores are standardised.</t>
  </si>
  <si>
    <t>Fn-065</t>
  </si>
  <si>
    <t>Signed rank test (H0 median=0).</t>
  </si>
  <si>
    <t>Gs-035</t>
  </si>
  <si>
    <t>CNS, central nervous system; MCS, mental component summary; SF-36, 36-Item Short Form Survey; US, United States</t>
  </si>
  <si>
    <t>Cl-054</t>
  </si>
  <si>
    <t>BIKTARVY®: continued proven tolerability in the real world</t>
  </si>
  <si>
    <t>PM17</t>
  </si>
  <si>
    <t>BIKTARVY® continues to demonstrate proven tolerability in the real world</t>
  </si>
  <si>
    <t>Cl-055</t>
  </si>
  <si>
    <t>In this systematic review, the authors concluded that the evidence suggested: Excluding ABC from DTG-based regimens did not reduce discontinuation rates due to NPSs to those observed with BIKTARVY®</t>
  </si>
  <si>
    <t>Ref-076</t>
  </si>
  <si>
    <t>Perez-Valero I, et al. Expert Rev Anti Infect Ther. 2023; 21: 655–665.</t>
  </si>
  <si>
    <t>Gs-036</t>
  </si>
  <si>
    <t>ABC, abacavir
DTG, dolutegravir
NPS, neuropsychiatric symptom</t>
  </si>
  <si>
    <t>A systematic review of 90 observational studies reporting data on TRAEs or treatment-related neuropsychiatric symptoms in 68,283 people with HIV found:</t>
  </si>
  <si>
    <t>Studies reporting outcomes with BIKTARVY® generally had shorter follow-up (≤12 months) vs studies with DTG-based 2DRs (≤12-&gt;24 months)</t>
  </si>
  <si>
    <t>Fn-066</t>
  </si>
  <si>
    <t>The median follow-up time varied among studies (BIKTARVY®-based studies and ranged between a minimum of 3 months to a maximum of 24 months; DTG-based regimen studies ranged 
between a minimum of 3 months to a maximum of 120 months).</t>
  </si>
  <si>
    <t>Gs-037</t>
  </si>
  <si>
    <t>Gs-038</t>
  </si>
  <si>
    <t>2DR, 2-drug regimens
DTG, dolutegravir</t>
  </si>
  <si>
    <t>Comp-050</t>
  </si>
  <si>
    <t>Data table of A systematic review of 90 observational studies reporting data on TRAES or treatment-related neuropsychiatric symptoms in 68,283 people with HIV found</t>
  </si>
  <si>
    <t>Fn-067</t>
  </si>
  <si>
    <t>Data from reviewed studies were divided into 125 subpopulations based on the characteristics of each study population and the treatment they received. A description was conducted of the studies on DTG 2DR. A total of 21 subpopulations of DTG 2DR were identified: 10 (8.0%) of DTG/3TC, 9 (7.2%) of DTG/RPV, 1 (0.8%) of DTG/XTC, and 1 (0.8%) of DTG/DRV.
Discontinuation rates for both regimens increased with follow-up time. Continued long-term studies on BIKTARVY® will provide an assessment of TRAEs over longer follow-up periods. In clinical studies of treatment-naïve patients receiving BIKTARVY®, the most frequently reported adverse reactions in the double-blind phase (Week 144) were headache (5%), diarrhoea (5%) and nausea (4%).
Median discontinuation rates due to adverse events (BIKTARVY® range Q1–Q3: 1.05%–3.85%; DTG-based 2DR range Q1–Q3: 3.86%–9.10%).
Median discontinuation rates due to treatment-related NPSs (BIKTARVY® range Q1–Q3: 0.00%–1.68%; DTG-based 2DR range Q1–Q3: 0.90%–3.40%).</t>
  </si>
  <si>
    <t>Gs-039</t>
  </si>
  <si>
    <t>DTG, dolutegravir
2DR, 2-drug regimens
TRAE, treatment related-adverse event
NPS, neuropsychiatric symptoms</t>
  </si>
  <si>
    <t>Cl-056</t>
  </si>
  <si>
    <t>BIKTARVY®: Significantly fewer CNS-related and bothersome symptoms vs ABC/3TC/DTG</t>
  </si>
  <si>
    <t>PM18</t>
  </si>
  <si>
    <t>BIKTARVY® shows significantly fewer CNS-related and bothersome symptoms vs ABC/3TC/DTG.</t>
  </si>
  <si>
    <t>Cl-057</t>
  </si>
  <si>
    <t>Experienced significantly less fatigue/loss of energy, nausea/vomiting and loss of appetite (p&lt;0.05)</t>
  </si>
  <si>
    <t>Cl-058</t>
  </si>
  <si>
    <t>Experienced significantly less difficulty sleeping through 12 and 48 weeks of treatment (p&lt;0.05)</t>
  </si>
  <si>
    <t>Cl-059</t>
  </si>
  <si>
    <t>Experienced significantly less nervousness/anxiety, dizziness/lightheadedness, nausea/vomiting, loss of appetite, sad/down/depressed (p&lt;0.05)</t>
  </si>
  <si>
    <t>Cl-060</t>
  </si>
  <si>
    <t>Experienced significantly improved sleep quality through Weeks 4 and 12 of treatment, as well as in the longitudinal model (p&lt;0.05)</t>
  </si>
  <si>
    <t>Ref-077</t>
  </si>
  <si>
    <t>Wohl DA, et al. Patient. 2018; 11: 561–573.</t>
  </si>
  <si>
    <t>Fn-068</t>
  </si>
  <si>
    <t>Only symptoms where ≥2 time points/models showed significance in either study are presented (based on whether prevalence was statistically significantly different at ≥2 time points in the adjusted logistic regression model or at one time point in the adjusted logistic regression model and in the longitudinal model). In this study, PROS were assessed with HIV-SI, PSQI, WPAI, SF-36 PCS and MCS tools. Results are presented for HIV-SI and PSQI here. WPAI scores: no differences between treatment groups at baseline or any post-baseline time point; PCS and MCS scores: changes from baseline at Week 48 were similar between groups (treatment-naïve) or were largely unchanged from baseline (virologically suppressed).
Study 1489, N=629.</t>
  </si>
  <si>
    <t>Gs-040</t>
  </si>
  <si>
    <t>3TC, lamivudine
DTG, dolutegravir
ABC, abacavir
CNS, central nervous system</t>
  </si>
  <si>
    <t>Treatment-naïve people with HIV</t>
  </si>
  <si>
    <t>Virologically suppressed people with HIV</t>
  </si>
  <si>
    <t>Cl-061</t>
  </si>
  <si>
    <t>BIKTARVY®: high adherence at Month 12 in the BICSTaR real-world study</t>
  </si>
  <si>
    <t>PM19</t>
  </si>
  <si>
    <t>BIKTARVY® showed high adherence at Month 12 in the BICSTaR real-world study.</t>
  </si>
  <si>
    <t>Cl-062</t>
  </si>
  <si>
    <t>≥96 % adherence in real-world participants at Month 12</t>
  </si>
  <si>
    <t>Ref-078</t>
  </si>
  <si>
    <t>Brunetta J, et al. European AIDS Conference (EACS) 2021, 27–30 October; London, UK. Poster PE2/50.</t>
  </si>
  <si>
    <t>RT-044</t>
  </si>
  <si>
    <t>Mean adherence on BIKTARVY® at Month 12</t>
  </si>
  <si>
    <t>Comp-051</t>
  </si>
  <si>
    <t>Data chart of Mean adherence on BIKTARVY® at Month 12</t>
  </si>
  <si>
    <t>Fn-069</t>
  </si>
  <si>
    <t>Adapted from Brunetta J, et al. EACS 2021.
All participants who completed the 12-month VAS questionnaire.
Adherence with BIKTARVY® was 97% (SD=11) at study entry for treatment-experienced participants.</t>
  </si>
  <si>
    <t>Cl-063</t>
  </si>
  <si>
    <t>BIKTARVY®: high persistence through 2 years in the BICSTaR real-world study</t>
  </si>
  <si>
    <t>Ref-079</t>
  </si>
  <si>
    <t>Fn-070</t>
  </si>
  <si>
    <t>PM20</t>
  </si>
  <si>
    <t>BIKTARVY® demonstrated high persistence through 2 years in the BICSTaR real-world study.</t>
  </si>
  <si>
    <t>Cl-064</t>
  </si>
  <si>
    <t>86% overall persistence at Month 24 in real-world participants</t>
  </si>
  <si>
    <t>Cl-065</t>
  </si>
  <si>
    <t>Only 7% (n=62) of overall participants discontinued BIKTARVY® due to TRAEs through 24 months</t>
  </si>
  <si>
    <t>Fn-071</t>
  </si>
  <si>
    <t>Gs-041</t>
  </si>
  <si>
    <t>Trottier B, et al. HIV Glasgow 2022, 23–26 October; Glasgow, UK. Poster P067.</t>
  </si>
  <si>
    <t>Data shown here are 24-month efficacy data for 838 people with HIV receiving BIKTARVY® in routine clinical practice across Europe (France, Germany, Ireland, Italy, The Netherlands, Spain, UK), Canada and Israel. 
A total of 7% of overall participants (n=62; 8 treatment-naïve and 54 treatment-experienced) discontinued BIKTARVY® due to TRAEs through 24 months, the most common of which were weight increase (3%) and depression (1%).</t>
  </si>
  <si>
    <t>A total of 7% of overall participants (n=62; 8 treatment-naïve and 54 treatment-experienced) discontinued BIKTARVY® due to TRAEs through 24 months, the most common of which were weight increase (3%) and depression (1%).</t>
  </si>
  <si>
    <t>RT-045</t>
  </si>
  <si>
    <t>Participants still on BIKTARVY® at Month 24</t>
  </si>
  <si>
    <t>Comp-052</t>
  </si>
  <si>
    <t>Data chart of Participants still on BIKTARVY® at Month 24</t>
  </si>
  <si>
    <t>Fn-072</t>
  </si>
  <si>
    <t>Adapted from Trottier B, et al. HIV Glasgow 2022.</t>
  </si>
  <si>
    <t>Cl-085</t>
  </si>
  <si>
    <t>BIKTARVY®: high level of treatment satisfaction in treatment-experienced participants in BICSTaR</t>
  </si>
  <si>
    <t>PM21</t>
  </si>
  <si>
    <t>BIKTARVY® demonstrated a high level of treatment satisfaction among treatment-experienced participants in the BICSTaR study.</t>
  </si>
  <si>
    <t>Cl-067</t>
  </si>
  <si>
    <t>Treatment satisfaction was high at baseline for treatment-experienced participants</t>
  </si>
  <si>
    <t>Ref-080</t>
  </si>
  <si>
    <t>Fn-073</t>
  </si>
  <si>
    <t>Data shown here are 12-month data for 1134 people with HIV receiving BIKTARVY® in Europe (France, Germany, Ireland, Italy, the Netherlands, Spain, UK), Canada and Israel.
HIVTSQ status score ranged 0 to 60, higher total scores indicate greater satisfaction with treatment.</t>
  </si>
  <si>
    <t>RT-046</t>
  </si>
  <si>
    <t>Median HIVTSQ status score at baseline (n=1134)</t>
  </si>
  <si>
    <t>RT-047</t>
  </si>
  <si>
    <t>Median HIVTSQ change score at Month 12 (n=842)</t>
  </si>
  <si>
    <t>Fn-074</t>
  </si>
  <si>
    <t>HIVTSQ status score ranged 0 to 60, higher total scores indicate greater satisfaction with treatment.</t>
  </si>
  <si>
    <t>Fn-075</t>
  </si>
  <si>
    <t>HIVTSQ change score ranged from -30 to +30; positive score changes indicate improvement in satisfaction with study treatment.</t>
  </si>
  <si>
    <t>Gs-042</t>
  </si>
  <si>
    <t>HIVTSQ, HIV Treatment Satisfaction Questionnaire</t>
  </si>
  <si>
    <t>Comp-053</t>
  </si>
  <si>
    <t>Data chart of Median HIVTSQ status score at baseline (n=1134)</t>
  </si>
  <si>
    <t>Comp-054</t>
  </si>
  <si>
    <t>Data chart of Median HIVTSQ change score at Month 12 (n=842)</t>
  </si>
  <si>
    <t>Fn-076</t>
  </si>
  <si>
    <t>Adapted from Esser S, et al. HIV Med. 2024</t>
  </si>
  <si>
    <t>Cl-068</t>
  </si>
  <si>
    <t>BIKTARVY®: a simple STR that's small in size</t>
  </si>
  <si>
    <t>PM22</t>
  </si>
  <si>
    <t>BIKTARVY® offers a simple single-tablet regimen (STR) with a small tablet size.</t>
  </si>
  <si>
    <t>Cl-069</t>
  </si>
  <si>
    <t>BIKTARVY® Full dose STR: 50 mg/200 mg/25 mg 15 mm x 8 mm</t>
  </si>
  <si>
    <t>Cl-070</t>
  </si>
  <si>
    <t>BIKTARVY® Low dose STR: 30 mg/120 mg/15 mg 14 mm x 6 mm</t>
  </si>
  <si>
    <t>Ref-081</t>
  </si>
  <si>
    <t>Fn-077</t>
  </si>
  <si>
    <t>BIKTARVY® is indicated for the treatment of human immunodeficiency virus-1 (HIV-1) infection in adults and paediatric patients ≥2 years of age and weighing ≥14 kg without present or past evidence of viral resistance to the integrase inhibitor class, FTC or tenofovir.</t>
  </si>
  <si>
    <t>Fn-078</t>
  </si>
  <si>
    <t>The BIKTARVY® 30 mg/120 mg/15 mg tablet is indicated for children aged ≥2 years and weighing ≥14 kg to &lt;25 kg.</t>
  </si>
  <si>
    <t>Gs-043</t>
  </si>
  <si>
    <t>Comp-055</t>
  </si>
  <si>
    <t>Product Image- BIKTARVY Tablet Low Dose STR</t>
  </si>
  <si>
    <t>RT-048</t>
  </si>
  <si>
    <t>BIKTARVY®: key dosing and administration information</t>
  </si>
  <si>
    <t>RT-049</t>
  </si>
  <si>
    <t>Contraindications Hypersensitivity to the active substances (BIC, FTC and TAF) or to any of the excipients. Coadministration with rifampicin and St John's wort (Hypercium perforatum).</t>
  </si>
  <si>
    <t>RT-050</t>
  </si>
  <si>
    <t>Patients coinfected with HBV or HCV virus Patients with chronic hepatitis B or C treated with antiretroviral therapy are at an increased risk for severe and potentially fatal hepatic adverse reactions. There are limited safety and efficacy data for BIKTARVY® in patients co-infected with HIV-1 and HCV. BIKTARVY® contains TAF, which is active against HBV. Discontinuation of BIKTARVY® therapy in patients coinfected with HIV and HBV may be associated with severe acute exacerbations of hepatitis. Patients coinfected with HIV and HBV who discontinue BIKTARVY® should be closely monitored with both clinical and laboratory follow-up for at least several months after stopping treatment.</t>
  </si>
  <si>
    <t>RT-051</t>
  </si>
  <si>
    <t>Coadministration with other medicinal products Some medicinal products are not recommended for coadministration with BIKTARVY®: atazanavir, carbamazepine, ciclosporin (IV or oral use), oxcarbazepine, phenobarbital, phenytoin, rifabutin, rifapentine, or sucralfate. BIKTARVY® should not be coadministered with other antiretroviral medicinal products.</t>
  </si>
  <si>
    <t>RT-052</t>
  </si>
  <si>
    <t>Food requirements for antacids and iron supplements BIKTARVY® should not be coadministered simultaneously with magnesium/aluminium-containing
supplements or antacids, or iron supplements under fasted conditions.
BIKTARVY® should be administered at least 2 hours before, or with food 2 hours after, antacids containing magnesium and/or aluminium. BIKTARVY® should be administered at least 2 hours before iron supplements, or taken together with food.</t>
  </si>
  <si>
    <t>Fn-079</t>
  </si>
  <si>
    <t>Tablet core (microcrystalline cellulose, croscarmellose sodium, magnesium stearate) and film-coating (polyvinyl alcohol, titanium dioxide [E171], macrogol, talc, iron oxide red [E172], iron oxide black [E172]).</t>
  </si>
  <si>
    <t>Gs-044</t>
  </si>
  <si>
    <t>BIC, bictegravir
FTC, emtricitabine
TAF, tenofovir alafenamide fumarate</t>
  </si>
  <si>
    <t>Gs-045</t>
  </si>
  <si>
    <t>HBV, hepatitis B virus
HCV, hepatitis C virus
TAF, tenofovir alafenamide fumarate</t>
  </si>
  <si>
    <t>Gs-046</t>
  </si>
  <si>
    <t>IV, intravenous</t>
  </si>
  <si>
    <t>Cl-071</t>
  </si>
  <si>
    <t>BIKTARVY®: low potential for DDIs with chemsex drugs</t>
  </si>
  <si>
    <t>PM23</t>
  </si>
  <si>
    <t>BIKTARVY® has a low potential for drug–drug interactions (DDIs) with chemsex drugs.</t>
  </si>
  <si>
    <t>Cl-072</t>
  </si>
  <si>
    <t>BIKTARVY® has no interaction expected with:
- Alcohol
- Amphetamine
- Cannabis
- Cocaine
- Ecstasy (MDMA)
- GHB
- Heroin
- Ketamine
- LSD
- Mephedrone
- Methamphetamine
- Midazolam (oral)
- PCP
- Poppers (amyl nitrate)
- Triazolam</t>
  </si>
  <si>
    <t>Cl-073</t>
  </si>
  <si>
    <t>People with HIV on ART who engage in chemsex may be at risk of harmful DDIs with recreational drugs, which may result in: Toxicity Decreased efficacy of ART</t>
  </si>
  <si>
    <t>Ref-082</t>
  </si>
  <si>
    <t>University of Liverpool. Liverpool HIV Drug Interactions Checker. Available from: https://hiv-druginteractions.org/checker. Accessed April 2024.</t>
  </si>
  <si>
    <t>Fn-080</t>
  </si>
  <si>
    <t>Interaction studies have only been performed in adults. BIKTARVY® should not be administered concomitantly with medicinal products containing TAF, tenofovir disoproxil, 3TC or adefovir dipivoxil used for the treatment of HBV infection.</t>
  </si>
  <si>
    <t>Gs-047</t>
  </si>
  <si>
    <t>DDI, drug-drug interaction</t>
  </si>
  <si>
    <t>Gs-048</t>
  </si>
  <si>
    <t>LSD, lysergic acid diethylamide
MDMA, 3,4-methylenedioxymethamphetamine
GHB, gamma-hydroxybutyrate
PCP, phencyclidine</t>
  </si>
  <si>
    <t>Gs-049</t>
  </si>
  <si>
    <t>ART, antiretroviral therapy
DDI, drug-drug interaction</t>
  </si>
  <si>
    <t>Ref-083</t>
  </si>
  <si>
    <t>De La Mora L, et al. Infect Dis Ther. 2022; 11: 2111–2124.</t>
  </si>
  <si>
    <t>Comp-056</t>
  </si>
  <si>
    <t>Icon Of Toxicity</t>
  </si>
  <si>
    <t>Comp-057</t>
  </si>
  <si>
    <t>Icon of decreased ART</t>
  </si>
  <si>
    <t>RT-053</t>
  </si>
  <si>
    <t>How can starting or staying on BIKTARVY® support your patients to achieve long-term success?</t>
  </si>
  <si>
    <t>Comp-058</t>
  </si>
  <si>
    <t>Illustration of How can starting or staying on BIKTARVYⓇ support your patientsto achieve long-term success?</t>
  </si>
  <si>
    <t>RT-054</t>
  </si>
  <si>
    <t>BIKTARVY®: supplementary information</t>
  </si>
  <si>
    <t>Cl-074</t>
  </si>
  <si>
    <t>The reassurance of TAF data in supporting the patients you care for</t>
  </si>
  <si>
    <t>PM24</t>
  </si>
  <si>
    <t>TAF data provide reassurance for the patients you care for</t>
  </si>
  <si>
    <t>Cl-075</t>
  </si>
  <si>
    <t>Proven in the real world no significant difference in metabolic clinical events in participants switching from TDF to TAF-based regimens</t>
  </si>
  <si>
    <t>Cl-076</t>
  </si>
  <si>
    <t>Established renal safety profile 0 cases of PRT or Fanconi syndrome across 26 clinical trials</t>
  </si>
  <si>
    <t>Cl-077</t>
  </si>
  <si>
    <t>Minimal impact on fasting lipids in clinical trials and the real world demonstrated up to 5 and 3 years, respectively</t>
  </si>
  <si>
    <t>Cl-078</t>
  </si>
  <si>
    <t>Over 5.1 million patient-years experience worldwide</t>
  </si>
  <si>
    <t>Cl-079</t>
  </si>
  <si>
    <t>Effective against HBV</t>
  </si>
  <si>
    <t>Ref-084</t>
  </si>
  <si>
    <t xml:space="preserve">Gilead. Data on file. HIV116. March 2022.
Martinez-Sanz J, et al. HIV Glasgow 2022, 23-26 October; Glasgow, UK. Abstract P152.
Poliseno M, et al. HIV Glasgow 2022, 23-26 October; Glasgow, UK. Abstract P155 
Gupta S, et al. AIDS. 2019; 3: 1455-1465
Brar I, et al. Infectious Diseases (ID) Week 2020, 21-25 October. Poster 1028.
Sax PE, et al. eClinical Medicine. 2023; 59: 101991.
Orkin C , et al . HIV Glasgow 2022 , 23-26 October; Glasgow, UK. Poster 088.
</t>
  </si>
  <si>
    <t>Ref-085</t>
  </si>
  <si>
    <t xml:space="preserve">Martinez-Sanz J, et al. HIV Glasgow 2022, 23-26 October; Glasgow, UK. Abstract P152.
Poliseno M, et al. HIV Glasgow 2022, 23-26 October; Glasgow, UK. Abstract P155 </t>
  </si>
  <si>
    <t>Ref-086</t>
  </si>
  <si>
    <t>Gupta S, et al. AIDS. 2019; 3: 1455–1465.</t>
  </si>
  <si>
    <t>Ref-087</t>
  </si>
  <si>
    <t xml:space="preserve">Brar I, et al. Infectious Diseases (ID) Week 2020, 21-25 October. Poster 1028.
Sax PE, et al. eClinical Medicine. 2023; 59: 101991.
Orkin C , et al . HIV Glasgow 2022 , 23-26 October; Glasgow, UK. Poster 088.
</t>
  </si>
  <si>
    <t>Ref-088</t>
  </si>
  <si>
    <t>Gilead. Data on file. HIV116. March 2022.</t>
  </si>
  <si>
    <t>Ref-089</t>
  </si>
  <si>
    <t>VEMLIDY® (TAF) Summary of Product Characteristics.</t>
  </si>
  <si>
    <t>Gs-050</t>
  </si>
  <si>
    <t>Gs-051</t>
  </si>
  <si>
    <t>TDF, tenofovir disoproxil fumarate
TAF, tenofovir alafenamide fumarate</t>
  </si>
  <si>
    <t>Gs-052</t>
  </si>
  <si>
    <t>PRT, proximal renal tubulopathy</t>
  </si>
  <si>
    <t>Fn-081</t>
  </si>
  <si>
    <t>In an integrated analysis of participants from 26 clinical trials, no cases of PRT or Fanconi syndrome were reported after 12,519 patient-years of exposure to TAF.</t>
  </si>
  <si>
    <t>Gs-053</t>
  </si>
  <si>
    <t>RT-055</t>
  </si>
  <si>
    <t>VEMLIDY▼ (tenofovir alafenamide fumarate) is indicated for the treatment of chronic hepatitis B in adults and paediatric patients 6 years of age and older weighing at least 25 kg.</t>
  </si>
  <si>
    <t>Comp-059</t>
  </si>
  <si>
    <t>Icon of patients</t>
  </si>
  <si>
    <t>Comp-060</t>
  </si>
  <si>
    <t>Comp-061</t>
  </si>
  <si>
    <t>Renal Safe Icon</t>
  </si>
  <si>
    <t>Comp-062</t>
  </si>
  <si>
    <t>Effect on Lipids Icon</t>
  </si>
  <si>
    <t>Comp-063</t>
  </si>
  <si>
    <t>Effective aganst HBV icon</t>
  </si>
  <si>
    <t>Cl-080</t>
  </si>
  <si>
    <t>BIKTARVY®: high barrier to resistance in the SOLAR study</t>
  </si>
  <si>
    <t>PM25</t>
  </si>
  <si>
    <t>BIKTARVY® showed a high barrier to resistance in the SOLAR study.</t>
  </si>
  <si>
    <t>Cl-081</t>
  </si>
  <si>
    <t>Cl-082</t>
  </si>
  <si>
    <t>Cl-083</t>
  </si>
  <si>
    <t>Ref-090</t>
  </si>
  <si>
    <t>Gs-054</t>
  </si>
  <si>
    <t>Gs-055</t>
  </si>
  <si>
    <t>Gs-056</t>
  </si>
  <si>
    <t>RT-056</t>
  </si>
  <si>
    <t>Fn-082</t>
  </si>
  <si>
    <t>Gs-057</t>
  </si>
  <si>
    <t>Comp-064</t>
  </si>
  <si>
    <t>Comp-065</t>
  </si>
  <si>
    <t>RT-057</t>
  </si>
  <si>
    <t>Ref-091</t>
  </si>
  <si>
    <t>RT-058</t>
  </si>
  <si>
    <t>RT-059</t>
  </si>
  <si>
    <t>RT-060</t>
  </si>
  <si>
    <t>RT-061</t>
  </si>
  <si>
    <t>RT-062</t>
  </si>
  <si>
    <t>Ref-092</t>
  </si>
  <si>
    <t>Ref-093</t>
  </si>
  <si>
    <t>Ref-094</t>
  </si>
  <si>
    <t>Ref-095</t>
  </si>
  <si>
    <t>Ref-096</t>
  </si>
  <si>
    <t>Fn-083</t>
  </si>
  <si>
    <t>Gs-058</t>
  </si>
  <si>
    <t>Gs-059</t>
  </si>
  <si>
    <t>Fn-084</t>
  </si>
  <si>
    <t>Gs-060</t>
  </si>
  <si>
    <t>Comp-066</t>
  </si>
  <si>
    <t>RT-063</t>
  </si>
  <si>
    <t>RT-064</t>
  </si>
  <si>
    <t>RT-065</t>
  </si>
  <si>
    <t>RT-066</t>
  </si>
  <si>
    <t>Ref-097</t>
  </si>
  <si>
    <t>Ref-098</t>
  </si>
  <si>
    <t>Fn-085</t>
  </si>
  <si>
    <t>Gs-061</t>
  </si>
  <si>
    <t>Fn-086</t>
  </si>
  <si>
    <t>Gs-062</t>
  </si>
  <si>
    <t>Comp-067</t>
  </si>
  <si>
    <t>RT-067</t>
  </si>
  <si>
    <t>RT-068</t>
  </si>
  <si>
    <t>RT-069</t>
  </si>
  <si>
    <t>Ref-099</t>
  </si>
  <si>
    <t>Ref-123</t>
  </si>
  <si>
    <t xml:space="preserve">Rockstroh JK, et al. HIV Glasgow 2020, 5–8 October; Glasgow, UK. Poster 036.
Daar E, et al. Lancet HIV. 2018; 5: e347–e356. </t>
  </si>
  <si>
    <t>Ref-100</t>
  </si>
  <si>
    <t>Gs-063</t>
  </si>
  <si>
    <t>Fn-087</t>
  </si>
  <si>
    <t>Gs-064</t>
  </si>
  <si>
    <t>Comp-068</t>
  </si>
  <si>
    <t>RT-070</t>
  </si>
  <si>
    <t>RT-071</t>
  </si>
  <si>
    <t>RT-072</t>
  </si>
  <si>
    <t>RT-073</t>
  </si>
  <si>
    <t>Ref-101</t>
  </si>
  <si>
    <t>Gs-065</t>
  </si>
  <si>
    <t>Fn-088</t>
  </si>
  <si>
    <t>Gs-066</t>
  </si>
  <si>
    <t>Fn-089</t>
  </si>
  <si>
    <t>Gs-067</t>
  </si>
  <si>
    <t>Comp-069</t>
  </si>
  <si>
    <t>RT-074</t>
  </si>
  <si>
    <t>RT-075</t>
  </si>
  <si>
    <t>RT-076</t>
  </si>
  <si>
    <t>RT-077</t>
  </si>
  <si>
    <t>Ref-102</t>
  </si>
  <si>
    <t>Fn-090</t>
  </si>
  <si>
    <t>Gs-068</t>
  </si>
  <si>
    <t>Gs-069</t>
  </si>
  <si>
    <t>Gs-070</t>
  </si>
  <si>
    <t>Fn-091</t>
  </si>
  <si>
    <t>Gs-071</t>
  </si>
  <si>
    <t>Comp-070</t>
  </si>
  <si>
    <t>RT-078</t>
  </si>
  <si>
    <t>RT-079</t>
  </si>
  <si>
    <t>RT-080</t>
  </si>
  <si>
    <t>Ref-103</t>
  </si>
  <si>
    <t>Fn-092</t>
  </si>
  <si>
    <t>Ref-104</t>
  </si>
  <si>
    <t>Gs-072</t>
  </si>
  <si>
    <t>Fn-093</t>
  </si>
  <si>
    <t>Gs-073</t>
  </si>
  <si>
    <t>Comp-071</t>
  </si>
  <si>
    <t>RT-081</t>
  </si>
  <si>
    <t>RT-082</t>
  </si>
  <si>
    <t>RT-083</t>
  </si>
  <si>
    <t>RT-084</t>
  </si>
  <si>
    <t>Ref-105</t>
  </si>
  <si>
    <t>Ref-106</t>
  </si>
  <si>
    <t>Fn-094</t>
  </si>
  <si>
    <t>Gs-074</t>
  </si>
  <si>
    <t>Fn-095</t>
  </si>
  <si>
    <t>Gs-075</t>
  </si>
  <si>
    <t>Comp-072</t>
  </si>
  <si>
    <t>RT-085</t>
  </si>
  <si>
    <t>RT-086</t>
  </si>
  <si>
    <t>RT-087</t>
  </si>
  <si>
    <t>RT-088</t>
  </si>
  <si>
    <t>Ref-107</t>
  </si>
  <si>
    <t>Fn-096</t>
  </si>
  <si>
    <t>Gs-076</t>
  </si>
  <si>
    <t>Gs-077</t>
  </si>
  <si>
    <t>Fn-097</t>
  </si>
  <si>
    <t>Gs-078</t>
  </si>
  <si>
    <t>Comp-073</t>
  </si>
  <si>
    <t>RT-089</t>
  </si>
  <si>
    <t>RT-090</t>
  </si>
  <si>
    <t>RT-091</t>
  </si>
  <si>
    <t>RT-092</t>
  </si>
  <si>
    <t>Ref-122</t>
  </si>
  <si>
    <t>Ref-108</t>
  </si>
  <si>
    <t>Fn-098</t>
  </si>
  <si>
    <t>Gs-079</t>
  </si>
  <si>
    <t>Fn-099</t>
  </si>
  <si>
    <t>Gs-080</t>
  </si>
  <si>
    <t>Comp-074</t>
  </si>
  <si>
    <t>RT-093</t>
  </si>
  <si>
    <t>RT-094</t>
  </si>
  <si>
    <t>RT-095</t>
  </si>
  <si>
    <t>Ref-109</t>
  </si>
  <si>
    <t>Gs-081</t>
  </si>
  <si>
    <t>Fn-100</t>
  </si>
  <si>
    <t>Gs-082</t>
  </si>
  <si>
    <t>Comp-075</t>
  </si>
  <si>
    <t>RT-096</t>
  </si>
  <si>
    <t>RT-097</t>
  </si>
  <si>
    <t>RT-098</t>
  </si>
  <si>
    <t>RT-099</t>
  </si>
  <si>
    <t>Ref-121</t>
  </si>
  <si>
    <t>Gs-097</t>
  </si>
  <si>
    <t>RCT, randomised controlled trial</t>
  </si>
  <si>
    <t>Gs-083</t>
  </si>
  <si>
    <t>Fn-101</t>
  </si>
  <si>
    <t>Gs-084</t>
  </si>
  <si>
    <t>Comp-076</t>
  </si>
  <si>
    <t>RT-101</t>
  </si>
  <si>
    <t>RT-102</t>
  </si>
  <si>
    <t>RT-103</t>
  </si>
  <si>
    <t>RT-104</t>
  </si>
  <si>
    <t>Ref-110</t>
  </si>
  <si>
    <t>Fn-102</t>
  </si>
  <si>
    <t>Gs-085</t>
  </si>
  <si>
    <t>Fn-103</t>
  </si>
  <si>
    <t>Gs-086</t>
  </si>
  <si>
    <t>Comp-077</t>
  </si>
  <si>
    <t>RT-105</t>
  </si>
  <si>
    <t>RT-106</t>
  </si>
  <si>
    <t>RT-107</t>
  </si>
  <si>
    <t>Ref-111</t>
  </si>
  <si>
    <t>Fn-104</t>
  </si>
  <si>
    <t>Gs-087</t>
  </si>
  <si>
    <t>Fn-105</t>
  </si>
  <si>
    <t>Gs-088</t>
  </si>
  <si>
    <t>Comp-078</t>
  </si>
  <si>
    <t>RT-108</t>
  </si>
  <si>
    <t>RT-109</t>
  </si>
  <si>
    <t>RT-110</t>
  </si>
  <si>
    <t>RT-111</t>
  </si>
  <si>
    <t>Comp-079</t>
  </si>
  <si>
    <t>Ref-112</t>
  </si>
  <si>
    <t>Fn-106</t>
  </si>
  <si>
    <t>Gs-089</t>
  </si>
  <si>
    <t>Ref-113</t>
  </si>
  <si>
    <t>Ref-114</t>
  </si>
  <si>
    <t>Ref-115</t>
  </si>
  <si>
    <t>Cl-084</t>
  </si>
  <si>
    <t>PM26</t>
  </si>
  <si>
    <t>BIKTARVY® is recommended in treatment guidelines.</t>
  </si>
  <si>
    <t>Comp-080</t>
  </si>
  <si>
    <t>Comp-081</t>
  </si>
  <si>
    <t>Comp-082</t>
  </si>
  <si>
    <t>Ref-116</t>
  </si>
  <si>
    <t>Ref-117</t>
  </si>
  <si>
    <t>Ref-118</t>
  </si>
  <si>
    <t>Ref-119</t>
  </si>
  <si>
    <t>Fn-107</t>
  </si>
  <si>
    <t>Fn-108</t>
  </si>
  <si>
    <t>Fn-109</t>
  </si>
  <si>
    <t>Gs-090</t>
  </si>
  <si>
    <t>Gs-091</t>
  </si>
  <si>
    <t>Gs-092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</si>
</sst>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1"/>
      <name val="Calibri"/>
      <family val="2"/>
    </font>
    <font>
      <sz val="8"/>
      <name val="Calibri"/>
      <family val="2"/>
      <scheme val="minor"/>
    </font>
    <font>
      <sz val="11"/>
      <name val="Calibri"/>
      <family val="2"/>
      <scheme val="minor"/>
    </font>
    <font>
      <sz val="11"/>
      <name val="Calibri"/>
      <family val="2"/>
    </font>
    <font>
      <b/>
      <sz val="11"/>
      <name val="Calibri"/>
      <family val="2"/>
    </font>
    <font>
      <sz val="11"/>
      <color rgb="FF000000"/>
      <name val="Calibri"/>
      <family val="2"/>
    </font>
    <font>
      <sz val="11"/>
      <color rgb="FF515151"/>
      <name val="Calibri"/>
      <family val="2"/>
    </font>
    <font>
      <sz val="11"/>
      <color rgb="FF242424"/>
      <name val="Aptos Narrow"/>
      <family val="2"/>
    </font>
    <font>
      <sz val="11"/>
      <color theme="1"/>
      <name val="Calibri"/>
      <family val="2"/>
    </font>
    <font>
      <sz val="11"/>
      <color rgb="FF000000"/>
      <name val="Calibri"/>
      <family val="2"/>
    </font>
    <font>
      <sz val="11"/>
      <color theme="1"/>
      <name val="Aptos Narrow"/>
      <family val="2"/>
    </font>
    <font>
      <sz val="11"/>
      <name val="Calibri"/>
      <family val="2"/>
    </font>
  </fonts>
  <fills count="7">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0" fillId="0" borderId="1" xfId="0" applyBorder="1"/>
    <xf numFmtId="0" fontId="0" fillId="0" borderId="0" xfId="0" applyAlignment="1">
      <alignment wrapText="1"/>
    </xf>
    <xf numFmtId="0" fontId="1" fillId="2" borderId="1" xfId="0" applyFont="1" applyFill="1" applyBorder="1"/>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0" fillId="2" borderId="1" xfId="0" applyFill="1" applyBorder="1"/>
    <xf numFmtId="0" fontId="4" fillId="2" borderId="1" xfId="0" applyFont="1" applyFill="1" applyBorder="1"/>
    <xf numFmtId="0" fontId="4" fillId="2" borderId="1" xfId="0" applyFont="1" applyFill="1" applyBorder="1" applyAlignment="1">
      <alignment wrapText="1"/>
    </xf>
    <xf numFmtId="0" fontId="5" fillId="2" borderId="1" xfId="0" applyFont="1" applyFill="1" applyBorder="1"/>
    <xf numFmtId="0" fontId="0" fillId="2" borderId="1" xfId="0" applyFill="1" applyBorder="1" applyAlignment="1">
      <alignment wrapText="1"/>
    </xf>
    <xf numFmtId="0" fontId="6" fillId="2" borderId="1" xfId="0" applyFont="1" applyFill="1" applyBorder="1" applyAlignment="1">
      <alignment horizontal="center" vertical="top"/>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2" xfId="0" applyFill="1" applyBorder="1"/>
    <xf numFmtId="0" fontId="7" fillId="5" borderId="2" xfId="0" applyFont="1" applyFill="1" applyBorder="1"/>
    <xf numFmtId="0" fontId="8" fillId="0" borderId="0" xfId="0" applyFont="1"/>
    <xf numFmtId="0" fontId="7" fillId="0" borderId="0" xfId="0" applyFont="1"/>
    <xf numFmtId="0" fontId="9" fillId="0" borderId="0" xfId="0" applyFont="1"/>
    <xf numFmtId="0" fontId="7" fillId="3" borderId="0" xfId="0" applyFont="1" applyFill="1"/>
    <xf numFmtId="0" fontId="7" fillId="5" borderId="3" xfId="0" applyFont="1" applyFill="1" applyBorder="1"/>
    <xf numFmtId="0" fontId="7" fillId="0" borderId="0" xfId="0" applyFont="1" applyAlignment="1">
      <alignment wrapText="1"/>
    </xf>
    <xf numFmtId="0" fontId="9" fillId="6" borderId="0" xfId="0" applyFont="1" applyFill="1"/>
    <xf numFmtId="0" fontId="7" fillId="0" borderId="0" xfId="0" applyFont="1" applyAlignment="1">
      <alignment vertical="top"/>
    </xf>
    <xf numFmtId="0" fontId="0" fillId="0" borderId="0" xfId="0" applyAlignment="1">
      <alignment vertical="top"/>
    </xf>
    <xf numFmtId="0" fontId="0" fillId="0" borderId="2" xfId="0" applyBorder="1" applyAlignment="1">
      <alignment wrapText="1"/>
    </xf>
    <xf numFmtId="0" fontId="7" fillId="0" borderId="2" xfId="0" applyFont="1" applyBorder="1" applyAlignment="1">
      <alignment wrapText="1"/>
    </xf>
    <xf numFmtId="0" fontId="1" fillId="0" borderId="2" xfId="0" applyFont="1" applyBorder="1" applyAlignment="1">
      <alignment wrapText="1"/>
    </xf>
    <xf numFmtId="0" fontId="2" fillId="0" borderId="2" xfId="0" applyFont="1" applyBorder="1" applyAlignment="1">
      <alignment horizontal="center" vertical="top" wrapText="1"/>
    </xf>
    <xf numFmtId="0" fontId="6" fillId="0" borderId="2" xfId="0" applyFont="1" applyBorder="1" applyAlignment="1">
      <alignment horizontal="center" vertical="top" wrapText="1"/>
    </xf>
    <xf numFmtId="0" fontId="4" fillId="0" borderId="2" xfId="0" applyFont="1" applyBorder="1" applyAlignment="1">
      <alignment wrapText="1"/>
    </xf>
    <xf numFmtId="0" fontId="5" fillId="0" borderId="2" xfId="0" applyFont="1" applyBorder="1" applyAlignment="1">
      <alignment wrapText="1"/>
    </xf>
    <xf numFmtId="0" fontId="11" fillId="0" borderId="2" xfId="0" applyFont="1" applyBorder="1" applyAlignment="1">
      <alignment wrapText="1"/>
    </xf>
    <xf numFmtId="0" fontId="9" fillId="0" borderId="2" xfId="0" applyFont="1" applyBorder="1" applyAlignment="1">
      <alignment wrapText="1"/>
    </xf>
    <xf numFmtId="0" fontId="7" fillId="0" borderId="2" xfId="0" applyFont="1" applyBorder="1" applyAlignment="1">
      <alignment vertical="top" wrapText="1"/>
    </xf>
    <xf numFmtId="0" fontId="7" fillId="0" borderId="2" xfId="0" quotePrefix="1" applyFont="1" applyBorder="1" applyAlignment="1">
      <alignment wrapText="1"/>
    </xf>
    <xf numFmtId="0" fontId="0" fillId="0" borderId="2" xfId="0" applyBorder="1" applyAlignment="1">
      <alignment vertical="top" wrapText="1"/>
    </xf>
    <xf numFmtId="0" fontId="8" fillId="0" borderId="2" xfId="0" applyFont="1" applyBorder="1" applyAlignment="1">
      <alignment wrapText="1"/>
    </xf>
    <xf numFmtId="0" fontId="13" fillId="0" borderId="2" xfId="0" applyFont="1" applyBorder="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CC2B-C3FF-4559-9989-A11F71D2FD2A}">
  <dimension ref="A1:AE515"/>
  <sheetViews>
    <sheetView zoomScale="80" zoomScaleNormal="80" workbookViewId="0">
      <pane ySplit="1" topLeftCell="A2" activePane="bottomLeft" state="frozen"/>
      <selection activeCell="D1" sqref="D1"/>
      <selection pane="bottomLeft" activeCell="H18" sqref="H18"/>
    </sheetView>
  </sheetViews>
  <sheetFormatPr defaultRowHeight="14.5" x14ac:dyDescent="0.35"/>
  <cols>
    <col min="1" max="1" width="16.54296875" customWidth="1"/>
    <col min="2" max="2" width="36.54296875" bestFit="1" customWidth="1"/>
    <col min="3" max="3" width="33.7265625" customWidth="1"/>
    <col min="4" max="4" width="86.26953125" style="2" customWidth="1"/>
    <col min="5" max="5" width="29.7265625" customWidth="1"/>
    <col min="6" max="6" width="16.453125" customWidth="1"/>
    <col min="7" max="7" width="16.54296875" customWidth="1"/>
    <col min="8" max="8" width="23.81640625" customWidth="1"/>
    <col min="9" max="9" width="23.453125" customWidth="1"/>
    <col min="10" max="10" width="27.54296875" customWidth="1"/>
    <col min="11" max="11" width="22.453125" customWidth="1"/>
    <col min="12" max="12" width="27.54296875" customWidth="1"/>
    <col min="13" max="13" width="22.453125" customWidth="1"/>
    <col min="14" max="14" width="24.1796875" customWidth="1"/>
    <col min="15" max="15" width="25.81640625" customWidth="1"/>
    <col min="16" max="16" width="27.26953125" customWidth="1"/>
    <col min="17" max="30" width="24.453125" customWidth="1"/>
    <col min="31" max="31" width="102.7265625" customWidth="1"/>
  </cols>
  <sheetData>
    <row r="1" spans="1:31" s="1" customFormat="1" x14ac:dyDescent="0.35">
      <c r="A1" s="3" t="s">
        <v>0</v>
      </c>
      <c r="B1" s="4" t="s">
        <v>1</v>
      </c>
      <c r="C1" s="4" t="s">
        <v>2</v>
      </c>
      <c r="D1" s="5" t="s">
        <v>3</v>
      </c>
      <c r="E1" s="4" t="s">
        <v>4</v>
      </c>
      <c r="F1" s="4" t="s">
        <v>5</v>
      </c>
      <c r="G1" s="4" t="s">
        <v>6</v>
      </c>
      <c r="H1" s="4" t="s">
        <v>7</v>
      </c>
      <c r="I1" s="4" t="s">
        <v>8</v>
      </c>
      <c r="J1" s="4" t="s">
        <v>9</v>
      </c>
      <c r="K1" s="4" t="s">
        <v>10</v>
      </c>
      <c r="L1" s="11" t="s">
        <v>11</v>
      </c>
      <c r="M1" s="11"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row>
    <row r="2" spans="1:31" ht="29" x14ac:dyDescent="0.35">
      <c r="A2" s="6" t="s">
        <v>31</v>
      </c>
      <c r="B2" s="7">
        <v>2</v>
      </c>
      <c r="C2" s="6" t="s">
        <v>32</v>
      </c>
      <c r="D2" s="8" t="s">
        <v>33</v>
      </c>
      <c r="E2" s="6" t="s">
        <v>34</v>
      </c>
      <c r="F2" s="6"/>
      <c r="G2" s="6"/>
      <c r="H2" s="6"/>
      <c r="I2" s="6"/>
      <c r="J2" s="6"/>
      <c r="K2" s="6"/>
      <c r="L2" s="6"/>
      <c r="M2" s="6"/>
      <c r="N2" s="6"/>
      <c r="O2" s="6"/>
      <c r="P2" s="6"/>
      <c r="Q2" s="6"/>
      <c r="R2" s="6"/>
      <c r="S2" s="6"/>
      <c r="T2" s="6"/>
      <c r="U2" s="6"/>
      <c r="V2" s="6"/>
      <c r="W2" s="6"/>
      <c r="X2" s="6"/>
      <c r="Y2" s="6"/>
      <c r="Z2" s="6"/>
      <c r="AA2" s="6"/>
      <c r="AB2" s="6"/>
      <c r="AC2" s="6"/>
      <c r="AD2" s="6"/>
      <c r="AE2" s="6"/>
    </row>
    <row r="3" spans="1:31" x14ac:dyDescent="0.35">
      <c r="A3" s="6" t="s">
        <v>35</v>
      </c>
      <c r="B3" s="7">
        <v>2</v>
      </c>
      <c r="C3" s="7" t="s">
        <v>36</v>
      </c>
      <c r="D3" s="6" t="s">
        <v>37</v>
      </c>
      <c r="E3" s="6"/>
      <c r="F3" s="6"/>
      <c r="G3" s="6"/>
      <c r="H3" s="6"/>
      <c r="I3" s="6"/>
      <c r="J3" s="6"/>
      <c r="K3" s="6"/>
      <c r="L3" s="6"/>
      <c r="M3" s="6"/>
      <c r="N3" s="6"/>
      <c r="O3" s="6"/>
      <c r="P3" s="6"/>
      <c r="Q3" s="6"/>
      <c r="R3" s="6"/>
      <c r="S3" s="6"/>
      <c r="T3" s="6"/>
      <c r="U3" s="6"/>
      <c r="V3" s="6"/>
      <c r="W3" s="6"/>
      <c r="X3" s="6"/>
      <c r="Y3" s="6"/>
      <c r="Z3" s="6"/>
      <c r="AA3" s="6"/>
      <c r="AB3" s="6"/>
      <c r="AC3" s="6"/>
      <c r="AD3" s="6"/>
      <c r="AE3" s="6"/>
    </row>
    <row r="4" spans="1:31" x14ac:dyDescent="0.35">
      <c r="A4" s="6" t="s">
        <v>38</v>
      </c>
      <c r="B4" s="7">
        <v>2</v>
      </c>
      <c r="C4" s="7" t="s">
        <v>36</v>
      </c>
      <c r="D4" s="6" t="s">
        <v>39</v>
      </c>
      <c r="E4" s="6"/>
      <c r="F4" s="6"/>
      <c r="G4" s="6"/>
      <c r="H4" s="6"/>
      <c r="I4" s="6"/>
      <c r="J4" s="6"/>
      <c r="K4" s="6"/>
      <c r="L4" s="6"/>
      <c r="M4" s="6"/>
      <c r="N4" s="6"/>
      <c r="O4" s="6"/>
      <c r="P4" s="6"/>
      <c r="Q4" s="6"/>
      <c r="R4" s="6"/>
      <c r="S4" s="6"/>
      <c r="T4" s="6"/>
      <c r="U4" s="6"/>
      <c r="V4" s="6"/>
      <c r="W4" s="6"/>
      <c r="X4" s="6"/>
      <c r="Y4" s="6"/>
      <c r="Z4" s="6"/>
      <c r="AA4" s="6"/>
      <c r="AB4" s="6"/>
      <c r="AC4" s="6"/>
      <c r="AD4" s="6"/>
      <c r="AE4" s="6"/>
    </row>
    <row r="5" spans="1:31" x14ac:dyDescent="0.35">
      <c r="A5" s="6" t="s">
        <v>40</v>
      </c>
      <c r="B5" s="7">
        <v>2</v>
      </c>
      <c r="C5" s="7" t="s">
        <v>36</v>
      </c>
      <c r="D5" s="8" t="s">
        <v>41</v>
      </c>
      <c r="E5" s="6"/>
      <c r="F5" s="6"/>
      <c r="G5" s="6"/>
      <c r="H5" s="6"/>
      <c r="I5" s="6"/>
      <c r="J5" s="6"/>
      <c r="K5" s="6"/>
      <c r="L5" s="6"/>
      <c r="M5" s="6"/>
      <c r="N5" s="6"/>
      <c r="O5" s="6"/>
      <c r="P5" s="6"/>
      <c r="Q5" s="6"/>
      <c r="R5" s="6"/>
      <c r="S5" s="6"/>
      <c r="T5" s="6"/>
      <c r="U5" s="6"/>
      <c r="V5" s="6"/>
      <c r="W5" s="6"/>
      <c r="X5" s="6"/>
      <c r="Y5" s="6"/>
      <c r="Z5" s="6"/>
      <c r="AA5" s="6"/>
      <c r="AB5" s="6"/>
      <c r="AC5" s="6"/>
      <c r="AD5" s="6"/>
      <c r="AE5" s="6"/>
    </row>
    <row r="6" spans="1:31" x14ac:dyDescent="0.35">
      <c r="A6" s="6" t="s">
        <v>42</v>
      </c>
      <c r="B6" s="7">
        <v>2</v>
      </c>
      <c r="C6" s="7" t="s">
        <v>36</v>
      </c>
      <c r="D6" s="6" t="s">
        <v>43</v>
      </c>
      <c r="E6" s="6"/>
      <c r="F6" s="6"/>
      <c r="G6" s="6"/>
      <c r="H6" s="6"/>
      <c r="I6" s="6"/>
      <c r="J6" s="6"/>
      <c r="K6" s="6"/>
      <c r="L6" s="6"/>
      <c r="M6" s="6"/>
      <c r="N6" s="6"/>
      <c r="O6" s="6"/>
      <c r="P6" s="6"/>
      <c r="Q6" s="6"/>
      <c r="R6" s="6"/>
      <c r="S6" s="6"/>
      <c r="T6" s="6"/>
      <c r="U6" s="6"/>
      <c r="V6" s="6"/>
      <c r="W6" s="6"/>
      <c r="X6" s="6"/>
      <c r="Y6" s="6"/>
      <c r="Z6" s="6"/>
      <c r="AA6" s="6"/>
      <c r="AB6" s="6"/>
      <c r="AC6" s="6"/>
      <c r="AD6" s="6"/>
      <c r="AE6" s="6"/>
    </row>
    <row r="7" spans="1:31" x14ac:dyDescent="0.35">
      <c r="A7" s="6" t="s">
        <v>44</v>
      </c>
      <c r="B7" s="7">
        <v>2</v>
      </c>
      <c r="C7" s="7" t="s">
        <v>36</v>
      </c>
      <c r="D7" s="6" t="s">
        <v>45</v>
      </c>
      <c r="E7" s="6"/>
      <c r="F7" s="6"/>
      <c r="G7" s="6"/>
      <c r="H7" s="6"/>
      <c r="I7" s="6"/>
      <c r="J7" s="6"/>
      <c r="K7" s="6"/>
      <c r="L7" s="6"/>
      <c r="M7" s="6"/>
      <c r="N7" s="6"/>
      <c r="O7" s="6"/>
      <c r="P7" s="6"/>
      <c r="Q7" s="6"/>
      <c r="R7" s="6"/>
      <c r="S7" s="6"/>
      <c r="T7" s="6"/>
      <c r="U7" s="6"/>
      <c r="V7" s="6"/>
      <c r="W7" s="6"/>
      <c r="X7" s="6"/>
      <c r="Y7" s="6"/>
      <c r="Z7" s="6"/>
      <c r="AA7" s="6"/>
      <c r="AB7" s="6"/>
      <c r="AC7" s="6"/>
      <c r="AD7" s="6"/>
      <c r="AE7" s="6"/>
    </row>
    <row r="8" spans="1:31" x14ac:dyDescent="0.35">
      <c r="A8" s="6" t="s">
        <v>46</v>
      </c>
      <c r="B8" s="7">
        <v>2</v>
      </c>
      <c r="C8" s="7" t="s">
        <v>36</v>
      </c>
      <c r="D8" s="6" t="s">
        <v>47</v>
      </c>
      <c r="E8" s="6"/>
      <c r="F8" s="6"/>
      <c r="G8" s="6"/>
      <c r="H8" s="6"/>
      <c r="I8" s="6"/>
      <c r="J8" s="6"/>
      <c r="K8" s="6"/>
      <c r="L8" s="6"/>
      <c r="M8" s="6"/>
      <c r="N8" s="6"/>
      <c r="O8" s="6"/>
      <c r="P8" s="6"/>
      <c r="Q8" s="6"/>
      <c r="R8" s="6"/>
      <c r="S8" s="6"/>
      <c r="T8" s="6"/>
      <c r="U8" s="6"/>
      <c r="V8" s="6"/>
      <c r="W8" s="6"/>
      <c r="X8" s="6"/>
      <c r="Y8" s="6"/>
      <c r="Z8" s="6"/>
      <c r="AA8" s="6"/>
      <c r="AB8" s="6"/>
      <c r="AC8" s="6"/>
      <c r="AD8" s="6"/>
      <c r="AE8" s="6"/>
    </row>
    <row r="9" spans="1:31" x14ac:dyDescent="0.35">
      <c r="A9" s="6" t="s">
        <v>48</v>
      </c>
      <c r="B9" s="7">
        <v>2</v>
      </c>
      <c r="C9" s="7" t="s">
        <v>36</v>
      </c>
      <c r="D9" s="6" t="s">
        <v>49</v>
      </c>
      <c r="E9" s="6"/>
      <c r="F9" s="6"/>
      <c r="G9" s="6"/>
      <c r="H9" s="6"/>
      <c r="I9" s="6"/>
      <c r="J9" s="6"/>
      <c r="K9" s="6"/>
      <c r="L9" s="6"/>
      <c r="M9" s="6"/>
      <c r="N9" s="6"/>
      <c r="O9" s="6"/>
      <c r="P9" s="6"/>
      <c r="Q9" s="6"/>
      <c r="R9" s="6"/>
      <c r="S9" s="6"/>
      <c r="T9" s="6"/>
      <c r="U9" s="6"/>
      <c r="V9" s="6"/>
      <c r="W9" s="6"/>
      <c r="X9" s="6"/>
      <c r="Y9" s="6"/>
      <c r="Z9" s="6"/>
      <c r="AA9" s="6"/>
      <c r="AB9" s="6"/>
      <c r="AC9" s="6"/>
      <c r="AD9" s="6"/>
      <c r="AE9" s="6"/>
    </row>
    <row r="10" spans="1:31" x14ac:dyDescent="0.35">
      <c r="A10" s="6" t="s">
        <v>50</v>
      </c>
      <c r="B10" s="7">
        <v>2</v>
      </c>
      <c r="C10" s="7" t="s">
        <v>36</v>
      </c>
      <c r="D10" s="6" t="s">
        <v>51</v>
      </c>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spans="1:31" x14ac:dyDescent="0.35">
      <c r="A11" s="6" t="s">
        <v>52</v>
      </c>
      <c r="B11" s="7">
        <v>2</v>
      </c>
      <c r="C11" s="7" t="s">
        <v>36</v>
      </c>
      <c r="D11" s="6" t="s">
        <v>53</v>
      </c>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spans="1:31" ht="29" x14ac:dyDescent="0.35">
      <c r="A12" s="6" t="s">
        <v>34</v>
      </c>
      <c r="B12" s="7">
        <v>3</v>
      </c>
      <c r="C12" s="7" t="s">
        <v>4</v>
      </c>
      <c r="D12" s="8" t="s">
        <v>54</v>
      </c>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35">
      <c r="A13" s="6" t="s">
        <v>55</v>
      </c>
      <c r="B13" s="7">
        <v>3</v>
      </c>
      <c r="C13" s="7" t="s">
        <v>6</v>
      </c>
      <c r="D13" s="6" t="s">
        <v>56</v>
      </c>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35">
      <c r="A14" s="6" t="s">
        <v>57</v>
      </c>
      <c r="B14" s="7">
        <v>4</v>
      </c>
      <c r="C14" s="7" t="s">
        <v>36</v>
      </c>
      <c r="D14" s="6" t="s">
        <v>58</v>
      </c>
      <c r="E14" s="6"/>
      <c r="F14" s="6"/>
      <c r="G14" s="6"/>
      <c r="H14" s="6"/>
      <c r="I14" s="6"/>
      <c r="J14" s="6"/>
      <c r="K14" s="6"/>
      <c r="L14" s="6"/>
      <c r="M14" s="6"/>
      <c r="N14" s="6"/>
      <c r="O14" s="6"/>
      <c r="P14" s="6"/>
      <c r="Q14" s="6"/>
      <c r="R14" s="6"/>
      <c r="S14" s="6"/>
      <c r="T14" s="6"/>
      <c r="U14" s="6"/>
      <c r="V14" s="6"/>
      <c r="W14" s="6"/>
      <c r="X14" s="6"/>
      <c r="Y14" s="6"/>
      <c r="Z14" s="6"/>
      <c r="AA14" s="6"/>
      <c r="AB14" s="6"/>
      <c r="AC14" s="6"/>
      <c r="AD14" s="6"/>
      <c r="AE14" s="10"/>
    </row>
    <row r="15" spans="1:31" x14ac:dyDescent="0.35">
      <c r="A15" s="6" t="s">
        <v>59</v>
      </c>
      <c r="B15" s="7">
        <v>4</v>
      </c>
      <c r="C15" s="7" t="s">
        <v>32</v>
      </c>
      <c r="D15" s="8" t="s">
        <v>60</v>
      </c>
      <c r="E15" s="6"/>
      <c r="F15" s="6"/>
      <c r="G15" s="6"/>
      <c r="H15" s="6"/>
      <c r="I15" s="6"/>
      <c r="J15" s="6"/>
      <c r="K15" s="6"/>
      <c r="L15" s="6"/>
      <c r="M15" s="6"/>
      <c r="N15" s="6"/>
      <c r="O15" s="6"/>
      <c r="P15" s="6"/>
      <c r="Q15" s="6"/>
      <c r="R15" s="6"/>
      <c r="S15" s="6"/>
      <c r="T15" s="6" t="s">
        <v>57</v>
      </c>
      <c r="U15" s="6" t="s">
        <v>61</v>
      </c>
      <c r="V15" s="6"/>
      <c r="W15" s="6"/>
      <c r="X15" s="6"/>
      <c r="Y15" s="6"/>
      <c r="Z15" s="6"/>
      <c r="AA15" s="6"/>
      <c r="AB15" s="6"/>
      <c r="AC15" s="6"/>
      <c r="AD15" s="6"/>
      <c r="AE15" s="10"/>
    </row>
    <row r="16" spans="1:31" x14ac:dyDescent="0.35">
      <c r="A16" s="6" t="s">
        <v>62</v>
      </c>
      <c r="B16" s="7">
        <v>5</v>
      </c>
      <c r="C16" s="7" t="s">
        <v>32</v>
      </c>
      <c r="D16" s="8" t="s">
        <v>63</v>
      </c>
      <c r="E16" s="6"/>
      <c r="F16" s="6"/>
      <c r="G16" s="6"/>
      <c r="H16" s="6"/>
      <c r="I16" s="6"/>
      <c r="J16" s="6"/>
      <c r="K16" s="6"/>
      <c r="L16" s="6"/>
      <c r="M16" s="6"/>
      <c r="N16" s="6"/>
      <c r="O16" s="6"/>
      <c r="P16" s="6"/>
      <c r="Q16" s="6"/>
      <c r="R16" s="6"/>
      <c r="S16" s="6"/>
      <c r="T16" s="6" t="s">
        <v>64</v>
      </c>
      <c r="U16" s="6" t="s">
        <v>65</v>
      </c>
      <c r="V16" s="6"/>
      <c r="W16" s="6"/>
      <c r="X16" s="6"/>
      <c r="Y16" s="6"/>
      <c r="Z16" s="6"/>
      <c r="AA16" s="6"/>
      <c r="AB16" s="6"/>
      <c r="AC16" s="6"/>
      <c r="AD16" s="6"/>
      <c r="AE16" s="6"/>
    </row>
    <row r="17" spans="1:31" x14ac:dyDescent="0.35">
      <c r="A17" s="6" t="s">
        <v>64</v>
      </c>
      <c r="B17" s="7">
        <v>5</v>
      </c>
      <c r="C17" s="7" t="s">
        <v>36</v>
      </c>
      <c r="D17" s="6" t="s">
        <v>66</v>
      </c>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35">
      <c r="A18" s="6" t="s">
        <v>67</v>
      </c>
      <c r="B18" s="7">
        <v>9</v>
      </c>
      <c r="C18" s="7" t="s">
        <v>68</v>
      </c>
      <c r="D18" s="9" t="s">
        <v>69</v>
      </c>
      <c r="E18" s="6" t="s">
        <v>34</v>
      </c>
      <c r="F18" s="6"/>
      <c r="G18" s="6"/>
      <c r="H18" s="6" t="str">
        <f>A42</f>
        <v>Cl-006</v>
      </c>
      <c r="I18" s="6" t="s">
        <v>61</v>
      </c>
      <c r="J18" s="6" t="str">
        <f>A20</f>
        <v>Cl-002</v>
      </c>
      <c r="K18" s="6" t="s">
        <v>61</v>
      </c>
      <c r="L18" s="6" t="str">
        <f>A24</f>
        <v>Cl-003</v>
      </c>
      <c r="M18" s="6" t="s">
        <v>61</v>
      </c>
      <c r="N18" s="6"/>
      <c r="O18" s="6"/>
      <c r="P18" s="6"/>
      <c r="Q18" s="6"/>
      <c r="R18" s="6"/>
      <c r="S18" s="6"/>
      <c r="T18" s="6" t="str">
        <f>A19</f>
        <v>Comp-012</v>
      </c>
      <c r="U18" s="6" t="s">
        <v>61</v>
      </c>
      <c r="V18" s="6"/>
      <c r="W18" s="6"/>
      <c r="X18" s="6"/>
      <c r="Y18" s="6"/>
      <c r="Z18" s="6"/>
      <c r="AA18" s="6"/>
      <c r="AB18" s="6"/>
      <c r="AC18" s="6"/>
      <c r="AD18" s="6" t="s">
        <v>70</v>
      </c>
      <c r="AE18" s="6" t="s">
        <v>71</v>
      </c>
    </row>
    <row r="19" spans="1:31" x14ac:dyDescent="0.35">
      <c r="A19" s="6" t="s">
        <v>72</v>
      </c>
      <c r="B19" s="7">
        <v>9</v>
      </c>
      <c r="C19" s="7" t="s">
        <v>36</v>
      </c>
      <c r="D19" s="8" t="s">
        <v>73</v>
      </c>
      <c r="E19" s="6"/>
      <c r="F19" s="6"/>
      <c r="G19" s="6"/>
      <c r="H19" s="6"/>
      <c r="I19" s="6"/>
      <c r="J19" s="6"/>
      <c r="K19" s="6"/>
      <c r="L19" s="6"/>
      <c r="M19" s="6"/>
      <c r="N19" s="6"/>
      <c r="O19" s="6"/>
      <c r="P19" s="6"/>
      <c r="Q19" s="6"/>
      <c r="R19" s="6"/>
      <c r="S19" s="6"/>
      <c r="T19" s="6"/>
      <c r="U19" s="6"/>
      <c r="V19" s="6"/>
      <c r="W19" s="6"/>
      <c r="X19" s="6"/>
      <c r="Y19" s="6"/>
      <c r="Z19" s="6"/>
      <c r="AA19" s="6"/>
      <c r="AB19" s="6"/>
      <c r="AC19" s="6"/>
      <c r="AD19" s="6" t="s">
        <v>70</v>
      </c>
      <c r="AE19" s="6" t="s">
        <v>71</v>
      </c>
    </row>
    <row r="20" spans="1:31" x14ac:dyDescent="0.35">
      <c r="A20" s="6" t="s">
        <v>74</v>
      </c>
      <c r="B20" s="7">
        <v>9</v>
      </c>
      <c r="C20" s="7" t="s">
        <v>68</v>
      </c>
      <c r="D20" s="8" t="s">
        <v>75</v>
      </c>
      <c r="E20" s="6" t="s">
        <v>76</v>
      </c>
      <c r="F20" s="6" t="s">
        <v>77</v>
      </c>
      <c r="G20" s="6"/>
      <c r="H20" s="6"/>
      <c r="I20" s="6"/>
      <c r="J20" s="6"/>
      <c r="K20" s="6"/>
      <c r="L20" s="6"/>
      <c r="M20" s="6"/>
      <c r="N20" s="6"/>
      <c r="O20" s="6"/>
      <c r="P20" s="6"/>
      <c r="Q20" s="6"/>
      <c r="R20" s="6"/>
      <c r="S20" s="6"/>
      <c r="T20" s="6"/>
      <c r="U20" s="6"/>
      <c r="V20" s="6"/>
      <c r="W20" s="6"/>
      <c r="X20" s="6"/>
      <c r="Y20" s="6"/>
      <c r="Z20" s="6"/>
      <c r="AA20" s="6"/>
      <c r="AB20" s="6"/>
      <c r="AC20" s="6"/>
      <c r="AD20" s="6" t="s">
        <v>70</v>
      </c>
      <c r="AE20" s="6" t="s">
        <v>71</v>
      </c>
    </row>
    <row r="21" spans="1:31" x14ac:dyDescent="0.35">
      <c r="A21" s="6" t="s">
        <v>76</v>
      </c>
      <c r="B21" s="7">
        <v>9</v>
      </c>
      <c r="C21" s="7" t="s">
        <v>4</v>
      </c>
      <c r="D21" s="8" t="s">
        <v>78</v>
      </c>
      <c r="E21" s="6"/>
      <c r="F21" s="6"/>
      <c r="G21" s="6"/>
      <c r="H21" s="6"/>
      <c r="I21" s="6"/>
      <c r="J21" s="6"/>
      <c r="K21" s="6"/>
      <c r="L21" s="6"/>
      <c r="M21" s="6"/>
      <c r="N21" s="6"/>
      <c r="O21" s="6"/>
      <c r="P21" s="6"/>
      <c r="Q21" s="6"/>
      <c r="R21" s="6"/>
      <c r="S21" s="6"/>
      <c r="T21" s="6"/>
      <c r="U21" s="6"/>
      <c r="V21" s="6"/>
      <c r="W21" s="6"/>
      <c r="X21" s="6"/>
      <c r="Y21" s="6"/>
      <c r="Z21" s="6"/>
      <c r="AA21" s="6"/>
      <c r="AB21" s="6"/>
      <c r="AC21" s="6"/>
      <c r="AD21" s="6" t="s">
        <v>70</v>
      </c>
      <c r="AE21" s="6" t="s">
        <v>71</v>
      </c>
    </row>
    <row r="22" spans="1:31" ht="101.5" x14ac:dyDescent="0.35">
      <c r="A22" s="6" t="s">
        <v>77</v>
      </c>
      <c r="B22" s="7">
        <v>9</v>
      </c>
      <c r="C22" s="7" t="s">
        <v>79</v>
      </c>
      <c r="D22" s="8" t="s">
        <v>80</v>
      </c>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1:31" ht="140.15" customHeight="1" x14ac:dyDescent="0.35">
      <c r="A23" s="6" t="s">
        <v>81</v>
      </c>
      <c r="B23" s="7">
        <v>9</v>
      </c>
      <c r="C23" s="7" t="s">
        <v>79</v>
      </c>
      <c r="D23" s="8" t="s">
        <v>82</v>
      </c>
      <c r="E23" s="6"/>
      <c r="F23" s="6"/>
      <c r="G23" s="6"/>
      <c r="H23" s="6"/>
      <c r="I23" s="6"/>
      <c r="J23" s="6"/>
      <c r="K23" s="6"/>
      <c r="L23" s="6"/>
      <c r="M23" s="6"/>
      <c r="N23" s="6"/>
      <c r="O23" s="6"/>
      <c r="P23" s="6"/>
      <c r="Q23" s="6"/>
      <c r="R23" s="6"/>
      <c r="S23" s="6"/>
      <c r="T23" s="6"/>
      <c r="U23" s="6"/>
      <c r="V23" s="6"/>
      <c r="W23" s="6"/>
      <c r="X23" s="6"/>
      <c r="Y23" s="6"/>
      <c r="Z23" s="6"/>
      <c r="AA23" s="6"/>
      <c r="AB23" s="6"/>
      <c r="AC23" s="6"/>
      <c r="AD23" s="6" t="s">
        <v>70</v>
      </c>
      <c r="AE23" s="6" t="s">
        <v>71</v>
      </c>
    </row>
    <row r="24" spans="1:31" x14ac:dyDescent="0.35">
      <c r="A24" s="6" t="s">
        <v>83</v>
      </c>
      <c r="B24" s="7">
        <v>9</v>
      </c>
      <c r="C24" s="7" t="s">
        <v>68</v>
      </c>
      <c r="D24" s="8" t="s">
        <v>84</v>
      </c>
      <c r="E24" s="6" t="str">
        <f>A25</f>
        <v>Ref-003</v>
      </c>
      <c r="F24" s="6" t="str">
        <f>A26</f>
        <v>Fn-003</v>
      </c>
      <c r="G24" s="6"/>
      <c r="H24" s="6"/>
      <c r="I24" s="6"/>
      <c r="J24" s="6"/>
      <c r="K24" s="6"/>
      <c r="L24" s="6"/>
      <c r="M24" s="6"/>
      <c r="N24" s="6"/>
      <c r="O24" s="6"/>
      <c r="P24" s="6"/>
      <c r="Q24" s="6"/>
      <c r="R24" s="6"/>
      <c r="S24" s="6"/>
      <c r="T24" s="6"/>
      <c r="U24" s="6"/>
      <c r="V24" s="6"/>
      <c r="W24" s="6"/>
      <c r="X24" s="6"/>
      <c r="Y24" s="6"/>
      <c r="Z24" s="6"/>
      <c r="AA24" s="6"/>
      <c r="AB24" s="6"/>
      <c r="AC24" s="6"/>
      <c r="AD24" s="6" t="s">
        <v>70</v>
      </c>
      <c r="AE24" s="6" t="s">
        <v>71</v>
      </c>
    </row>
    <row r="25" spans="1:31" ht="29" x14ac:dyDescent="0.35">
      <c r="A25" s="6" t="s">
        <v>85</v>
      </c>
      <c r="B25" s="7">
        <v>9</v>
      </c>
      <c r="C25" s="7" t="s">
        <v>4</v>
      </c>
      <c r="D25" s="8" t="s">
        <v>86</v>
      </c>
      <c r="E25" s="6"/>
      <c r="F25" s="6"/>
      <c r="G25" s="6"/>
      <c r="H25" s="6"/>
      <c r="I25" s="6"/>
      <c r="J25" s="6"/>
      <c r="K25" s="6"/>
      <c r="L25" s="6"/>
      <c r="M25" s="6"/>
      <c r="N25" s="6"/>
      <c r="O25" s="6"/>
      <c r="P25" s="6"/>
      <c r="Q25" s="6"/>
      <c r="R25" s="6"/>
      <c r="S25" s="6"/>
      <c r="T25" s="6"/>
      <c r="U25" s="6"/>
      <c r="V25" s="6"/>
      <c r="W25" s="6"/>
      <c r="X25" s="6"/>
      <c r="Y25" s="6"/>
      <c r="Z25" s="6"/>
      <c r="AA25" s="6"/>
      <c r="AB25" s="6"/>
      <c r="AC25" s="6"/>
      <c r="AD25" s="6" t="s">
        <v>70</v>
      </c>
      <c r="AE25" s="6" t="s">
        <v>71</v>
      </c>
    </row>
    <row r="26" spans="1:31" ht="153" customHeight="1" x14ac:dyDescent="0.35">
      <c r="A26" s="6" t="s">
        <v>87</v>
      </c>
      <c r="B26" s="7">
        <v>9</v>
      </c>
      <c r="C26" s="7" t="s">
        <v>79</v>
      </c>
      <c r="D26" s="8" t="s">
        <v>88</v>
      </c>
      <c r="E26" s="6"/>
      <c r="F26" s="6"/>
      <c r="G26" s="6"/>
      <c r="H26" s="6"/>
      <c r="I26" s="6"/>
      <c r="J26" s="6"/>
      <c r="K26" s="6"/>
      <c r="L26" s="6"/>
      <c r="M26" s="6"/>
      <c r="N26" s="6"/>
      <c r="O26" s="6"/>
      <c r="P26" s="6"/>
      <c r="Q26" s="6"/>
      <c r="R26" s="6"/>
      <c r="S26" s="6"/>
      <c r="T26" s="6"/>
      <c r="U26" s="6"/>
      <c r="V26" s="6"/>
      <c r="W26" s="6"/>
      <c r="X26" s="6"/>
      <c r="Y26" s="6"/>
      <c r="Z26" s="6"/>
      <c r="AA26" s="6"/>
      <c r="AB26" s="6"/>
      <c r="AC26" s="6"/>
      <c r="AD26" s="6" t="s">
        <v>70</v>
      </c>
      <c r="AE26" s="6" t="s">
        <v>71</v>
      </c>
    </row>
    <row r="27" spans="1:31" ht="153" customHeight="1" x14ac:dyDescent="0.35">
      <c r="A27" s="6" t="s">
        <v>89</v>
      </c>
      <c r="B27" s="7">
        <v>9</v>
      </c>
      <c r="C27" s="7" t="s">
        <v>79</v>
      </c>
      <c r="D27" s="8" t="s">
        <v>90</v>
      </c>
      <c r="E27" s="6"/>
      <c r="F27" s="6"/>
      <c r="G27" s="6"/>
      <c r="H27" s="6"/>
      <c r="I27" s="6"/>
      <c r="J27" s="6"/>
      <c r="K27" s="6"/>
      <c r="L27" s="6"/>
      <c r="M27" s="6"/>
      <c r="N27" s="6"/>
      <c r="O27" s="6"/>
      <c r="P27" s="6"/>
      <c r="Q27" s="6"/>
      <c r="R27" s="6"/>
      <c r="S27" s="6"/>
      <c r="T27" s="6"/>
      <c r="U27" s="6"/>
      <c r="V27" s="6"/>
      <c r="W27" s="6"/>
      <c r="X27" s="6"/>
      <c r="Y27" s="6"/>
      <c r="Z27" s="6"/>
      <c r="AA27" s="6"/>
      <c r="AB27" s="6"/>
      <c r="AC27" s="6"/>
      <c r="AD27" s="6" t="s">
        <v>70</v>
      </c>
      <c r="AE27" s="6" t="s">
        <v>71</v>
      </c>
    </row>
    <row r="28" spans="1:31" x14ac:dyDescent="0.35">
      <c r="A28" s="6" t="s">
        <v>91</v>
      </c>
      <c r="B28" s="7">
        <v>9</v>
      </c>
      <c r="C28" s="7" t="s">
        <v>68</v>
      </c>
      <c r="D28" s="8" t="s">
        <v>92</v>
      </c>
      <c r="E28" s="6" t="str">
        <f>A33</f>
        <v>Ref-006</v>
      </c>
      <c r="F28" s="6" t="str">
        <f>A29</f>
        <v>Fn-005</v>
      </c>
      <c r="G28" s="6"/>
      <c r="H28" s="6"/>
      <c r="I28" s="6"/>
      <c r="J28" s="6"/>
      <c r="K28" s="6"/>
      <c r="L28" s="6"/>
      <c r="M28" s="6"/>
      <c r="N28" s="6"/>
      <c r="O28" s="6"/>
      <c r="P28" s="6"/>
      <c r="Q28" s="6"/>
      <c r="R28" s="6"/>
      <c r="S28" s="6"/>
      <c r="T28" s="6"/>
      <c r="U28" s="6"/>
      <c r="V28" s="6"/>
      <c r="W28" s="6"/>
      <c r="X28" s="6"/>
      <c r="Y28" s="6"/>
      <c r="Z28" s="6"/>
      <c r="AA28" s="6"/>
      <c r="AB28" s="6"/>
      <c r="AC28" s="6"/>
      <c r="AD28" s="6" t="s">
        <v>70</v>
      </c>
      <c r="AE28" s="6" t="s">
        <v>71</v>
      </c>
    </row>
    <row r="29" spans="1:31" ht="29" x14ac:dyDescent="0.35">
      <c r="A29" s="6" t="s">
        <v>93</v>
      </c>
      <c r="B29" s="7">
        <v>9</v>
      </c>
      <c r="C29" s="7" t="s">
        <v>79</v>
      </c>
      <c r="D29" s="10" t="s">
        <v>94</v>
      </c>
      <c r="E29" s="6"/>
      <c r="F29" s="6"/>
      <c r="G29" s="6"/>
      <c r="H29" s="6"/>
      <c r="I29" s="6"/>
      <c r="J29" s="6"/>
      <c r="K29" s="6"/>
      <c r="L29" s="6"/>
      <c r="M29" s="6"/>
      <c r="N29" s="6"/>
      <c r="O29" s="6"/>
      <c r="P29" s="6"/>
      <c r="Q29" s="6"/>
      <c r="R29" s="6"/>
      <c r="S29" s="6"/>
      <c r="T29" s="6"/>
      <c r="U29" s="6"/>
      <c r="V29" s="6"/>
      <c r="W29" s="6"/>
      <c r="X29" s="6"/>
      <c r="Y29" s="6"/>
      <c r="Z29" s="6"/>
      <c r="AA29" s="6"/>
      <c r="AB29" s="6"/>
      <c r="AC29" s="6"/>
      <c r="AD29" s="6" t="s">
        <v>70</v>
      </c>
      <c r="AE29" s="6" t="s">
        <v>71</v>
      </c>
    </row>
    <row r="30" spans="1:31" x14ac:dyDescent="0.35">
      <c r="A30" s="6" t="s">
        <v>95</v>
      </c>
      <c r="B30" s="7">
        <v>9</v>
      </c>
      <c r="C30" s="7" t="s">
        <v>68</v>
      </c>
      <c r="D30" s="10" t="s">
        <v>96</v>
      </c>
      <c r="E30" s="6" t="s">
        <v>97</v>
      </c>
      <c r="F30" s="6" t="str">
        <f>A29</f>
        <v>Fn-005</v>
      </c>
      <c r="G30" s="6" t="s">
        <v>98</v>
      </c>
      <c r="H30" s="6"/>
      <c r="I30" s="6"/>
      <c r="J30" s="6"/>
      <c r="K30" s="6"/>
      <c r="L30" s="6"/>
      <c r="M30" s="6"/>
      <c r="N30" s="6"/>
      <c r="O30" s="6"/>
      <c r="P30" s="6"/>
      <c r="Q30" s="6"/>
      <c r="R30" s="6"/>
      <c r="S30" s="6"/>
      <c r="T30" s="6"/>
      <c r="U30" s="6"/>
      <c r="V30" s="6"/>
      <c r="W30" s="6"/>
      <c r="X30" s="6"/>
      <c r="Y30" s="6"/>
      <c r="Z30" s="6"/>
      <c r="AA30" s="6"/>
      <c r="AB30" s="6"/>
      <c r="AC30" s="6"/>
      <c r="AD30" s="6" t="s">
        <v>70</v>
      </c>
      <c r="AE30" s="6" t="s">
        <v>71</v>
      </c>
    </row>
    <row r="31" spans="1:31" ht="29" x14ac:dyDescent="0.35">
      <c r="A31" s="6" t="s">
        <v>99</v>
      </c>
      <c r="B31" s="7">
        <v>9</v>
      </c>
      <c r="C31" s="7" t="s">
        <v>4</v>
      </c>
      <c r="D31" s="10" t="s">
        <v>100</v>
      </c>
      <c r="E31" s="6"/>
      <c r="F31" s="6"/>
      <c r="G31" s="6"/>
      <c r="H31" s="6"/>
      <c r="I31" s="6"/>
      <c r="J31" s="6"/>
      <c r="K31" s="6"/>
      <c r="L31" s="6"/>
      <c r="M31" s="6"/>
      <c r="N31" s="6"/>
      <c r="O31" s="6"/>
      <c r="P31" s="6"/>
      <c r="Q31" s="6"/>
      <c r="R31" s="6"/>
      <c r="S31" s="6"/>
      <c r="T31" s="6"/>
      <c r="U31" s="6"/>
      <c r="V31" s="6"/>
      <c r="W31" s="6"/>
      <c r="X31" s="6"/>
      <c r="Y31" s="6"/>
      <c r="Z31" s="6"/>
      <c r="AA31" s="6"/>
      <c r="AB31" s="6"/>
      <c r="AC31" s="6"/>
      <c r="AD31" s="6" t="s">
        <v>70</v>
      </c>
      <c r="AE31" s="6" t="s">
        <v>71</v>
      </c>
    </row>
    <row r="32" spans="1:31" x14ac:dyDescent="0.35">
      <c r="A32" s="6" t="s">
        <v>101</v>
      </c>
      <c r="B32" s="7">
        <v>10</v>
      </c>
      <c r="C32" s="7" t="s">
        <v>4</v>
      </c>
      <c r="D32" s="10" t="s">
        <v>102</v>
      </c>
      <c r="E32" s="6"/>
      <c r="F32" s="6"/>
      <c r="G32" s="6"/>
      <c r="H32" s="6"/>
      <c r="I32" s="6"/>
      <c r="J32" s="6"/>
      <c r="K32" s="6"/>
      <c r="L32" s="6"/>
      <c r="M32" s="6"/>
      <c r="N32" s="6"/>
      <c r="O32" s="6"/>
      <c r="P32" s="6"/>
      <c r="Q32" s="6"/>
      <c r="R32" s="6"/>
      <c r="S32" s="6"/>
      <c r="T32" s="6"/>
      <c r="U32" s="6"/>
      <c r="V32" s="6"/>
      <c r="W32" s="6"/>
      <c r="X32" s="6"/>
      <c r="Y32" s="6"/>
      <c r="Z32" s="6"/>
      <c r="AA32" s="6"/>
      <c r="AB32" s="6"/>
      <c r="AC32" s="6"/>
      <c r="AD32" s="6" t="s">
        <v>70</v>
      </c>
      <c r="AE32" s="6" t="s">
        <v>71</v>
      </c>
    </row>
    <row r="33" spans="1:31" x14ac:dyDescent="0.35">
      <c r="A33" s="6" t="s">
        <v>103</v>
      </c>
      <c r="B33" s="7">
        <v>10</v>
      </c>
      <c r="C33" s="7" t="s">
        <v>4</v>
      </c>
      <c r="D33" s="8" t="s">
        <v>104</v>
      </c>
      <c r="E33" s="6"/>
      <c r="F33" s="6"/>
      <c r="G33" s="6"/>
      <c r="H33" s="6"/>
      <c r="I33" s="6"/>
      <c r="J33" s="6"/>
      <c r="K33" s="6"/>
      <c r="L33" s="6"/>
      <c r="M33" s="6"/>
      <c r="N33" s="6"/>
      <c r="O33" s="6"/>
      <c r="P33" s="6"/>
      <c r="Q33" s="6"/>
      <c r="R33" s="6"/>
      <c r="S33" s="6"/>
      <c r="T33" s="6"/>
      <c r="U33" s="6"/>
      <c r="V33" s="6"/>
      <c r="W33" s="6"/>
      <c r="X33" s="6"/>
      <c r="Y33" s="6"/>
      <c r="Z33" s="6"/>
      <c r="AA33" s="6"/>
      <c r="AB33" s="6"/>
      <c r="AC33" s="6"/>
      <c r="AD33" s="6" t="s">
        <v>70</v>
      </c>
      <c r="AE33" s="6" t="s">
        <v>71</v>
      </c>
    </row>
    <row r="34" spans="1:31" x14ac:dyDescent="0.35">
      <c r="A34" s="6" t="s">
        <v>105</v>
      </c>
      <c r="B34" s="7">
        <v>10</v>
      </c>
      <c r="C34" s="7" t="s">
        <v>4</v>
      </c>
      <c r="D34" s="8" t="s">
        <v>106</v>
      </c>
      <c r="E34" s="6"/>
      <c r="F34" s="6"/>
      <c r="G34" s="6"/>
      <c r="H34" s="6"/>
      <c r="I34" s="6"/>
      <c r="J34" s="6"/>
      <c r="K34" s="6"/>
      <c r="L34" s="6"/>
      <c r="M34" s="6"/>
      <c r="N34" s="6"/>
      <c r="O34" s="6"/>
      <c r="P34" s="6"/>
      <c r="Q34" s="6"/>
      <c r="R34" s="6"/>
      <c r="S34" s="6"/>
      <c r="T34" s="6"/>
      <c r="U34" s="6"/>
      <c r="V34" s="6"/>
      <c r="W34" s="6"/>
      <c r="X34" s="6"/>
      <c r="Y34" s="6"/>
      <c r="Z34" s="6"/>
      <c r="AA34" s="6"/>
      <c r="AB34" s="6"/>
      <c r="AC34" s="6"/>
      <c r="AD34" s="6" t="s">
        <v>70</v>
      </c>
      <c r="AE34" s="6" t="s">
        <v>71</v>
      </c>
    </row>
    <row r="35" spans="1:31" x14ac:dyDescent="0.35">
      <c r="A35" s="6" t="s">
        <v>107</v>
      </c>
      <c r="B35" s="7">
        <v>10</v>
      </c>
      <c r="C35" s="7" t="s">
        <v>4</v>
      </c>
      <c r="D35" s="8" t="s">
        <v>108</v>
      </c>
      <c r="E35" s="6"/>
      <c r="F35" s="6"/>
      <c r="G35" s="6"/>
      <c r="H35" s="6"/>
      <c r="I35" s="6"/>
      <c r="J35" s="6"/>
      <c r="K35" s="6"/>
      <c r="L35" s="6"/>
      <c r="M35" s="6"/>
      <c r="N35" s="6"/>
      <c r="O35" s="6"/>
      <c r="P35" s="6"/>
      <c r="Q35" s="6"/>
      <c r="R35" s="6"/>
      <c r="S35" s="6"/>
      <c r="T35" s="6"/>
      <c r="U35" s="6"/>
      <c r="V35" s="6"/>
      <c r="W35" s="6"/>
      <c r="X35" s="6"/>
      <c r="Y35" s="6"/>
      <c r="Z35" s="6"/>
      <c r="AA35" s="6"/>
      <c r="AB35" s="6"/>
      <c r="AC35" s="6"/>
      <c r="AD35" s="6" t="s">
        <v>70</v>
      </c>
      <c r="AE35" s="6" t="s">
        <v>71</v>
      </c>
    </row>
    <row r="36" spans="1:31" x14ac:dyDescent="0.35">
      <c r="A36" s="6" t="s">
        <v>109</v>
      </c>
      <c r="B36" s="7">
        <v>10</v>
      </c>
      <c r="C36" s="7" t="s">
        <v>4</v>
      </c>
      <c r="D36" s="8" t="s">
        <v>110</v>
      </c>
      <c r="E36" s="6"/>
      <c r="F36" s="6"/>
      <c r="G36" s="6"/>
      <c r="H36" s="6"/>
      <c r="I36" s="6"/>
      <c r="J36" s="6"/>
      <c r="K36" s="6"/>
      <c r="L36" s="6"/>
      <c r="M36" s="6"/>
      <c r="N36" s="6"/>
      <c r="O36" s="6"/>
      <c r="P36" s="6"/>
      <c r="Q36" s="6"/>
      <c r="R36" s="6"/>
      <c r="S36" s="6"/>
      <c r="T36" s="6"/>
      <c r="U36" s="6"/>
      <c r="V36" s="6"/>
      <c r="W36" s="6"/>
      <c r="X36" s="6"/>
      <c r="Y36" s="6"/>
      <c r="Z36" s="6"/>
      <c r="AA36" s="6"/>
      <c r="AB36" s="6"/>
      <c r="AC36" s="6"/>
      <c r="AD36" s="6" t="s">
        <v>70</v>
      </c>
      <c r="AE36" s="6" t="s">
        <v>71</v>
      </c>
    </row>
    <row r="37" spans="1:31" ht="29" x14ac:dyDescent="0.35">
      <c r="A37" s="6" t="s">
        <v>111</v>
      </c>
      <c r="B37" s="7">
        <v>10</v>
      </c>
      <c r="C37" s="7" t="s">
        <v>6</v>
      </c>
      <c r="D37" s="8" t="s">
        <v>112</v>
      </c>
      <c r="E37" s="6"/>
      <c r="F37" s="6"/>
      <c r="G37" s="6"/>
      <c r="H37" s="6"/>
      <c r="I37" s="6"/>
      <c r="J37" s="6"/>
      <c r="K37" s="6"/>
      <c r="L37" s="6"/>
      <c r="M37" s="6"/>
      <c r="N37" s="6"/>
      <c r="O37" s="6"/>
      <c r="P37" s="6"/>
      <c r="Q37" s="6"/>
      <c r="R37" s="6"/>
      <c r="S37" s="6"/>
      <c r="T37" s="6"/>
      <c r="U37" s="6"/>
      <c r="V37" s="6"/>
      <c r="W37" s="6"/>
      <c r="X37" s="6"/>
      <c r="Y37" s="6"/>
      <c r="Z37" s="6"/>
      <c r="AA37" s="6"/>
      <c r="AB37" s="6"/>
      <c r="AC37" s="6"/>
      <c r="AD37" s="6" t="s">
        <v>70</v>
      </c>
      <c r="AE37" s="6" t="s">
        <v>71</v>
      </c>
    </row>
    <row r="38" spans="1:31" ht="29" x14ac:dyDescent="0.35">
      <c r="A38" s="6" t="s">
        <v>113</v>
      </c>
      <c r="B38" s="7">
        <v>10</v>
      </c>
      <c r="C38" s="7" t="s">
        <v>6</v>
      </c>
      <c r="D38" s="8" t="s">
        <v>114</v>
      </c>
      <c r="E38" s="6"/>
      <c r="F38" s="6"/>
      <c r="G38" s="6"/>
      <c r="H38" s="6"/>
      <c r="I38" s="6"/>
      <c r="J38" s="6"/>
      <c r="K38" s="6"/>
      <c r="L38" s="6"/>
      <c r="M38" s="6"/>
      <c r="N38" s="6"/>
      <c r="O38" s="6"/>
      <c r="P38" s="6"/>
      <c r="Q38" s="6"/>
      <c r="R38" s="6"/>
      <c r="S38" s="6"/>
      <c r="T38" s="6"/>
      <c r="U38" s="6"/>
      <c r="V38" s="6"/>
      <c r="W38" s="6"/>
      <c r="X38" s="6"/>
      <c r="Y38" s="6"/>
      <c r="Z38" s="6"/>
      <c r="AA38" s="6"/>
      <c r="AB38" s="6"/>
      <c r="AC38" s="6"/>
      <c r="AD38" s="6" t="s">
        <v>70</v>
      </c>
      <c r="AE38" s="6" t="s">
        <v>71</v>
      </c>
    </row>
    <row r="39" spans="1:31" x14ac:dyDescent="0.35">
      <c r="A39" s="6" t="s">
        <v>115</v>
      </c>
      <c r="B39" s="7">
        <v>10</v>
      </c>
      <c r="C39" s="7" t="s">
        <v>4</v>
      </c>
      <c r="D39" s="8" t="s">
        <v>116</v>
      </c>
      <c r="E39" s="6"/>
      <c r="F39" s="6"/>
      <c r="G39" s="6"/>
      <c r="H39" s="6"/>
      <c r="I39" s="6"/>
      <c r="J39" s="6"/>
      <c r="K39" s="6"/>
      <c r="L39" s="6"/>
      <c r="M39" s="6"/>
      <c r="N39" s="6"/>
      <c r="O39" s="6"/>
      <c r="P39" s="6"/>
      <c r="Q39" s="6"/>
      <c r="R39" s="6"/>
      <c r="S39" s="6"/>
      <c r="T39" s="6"/>
      <c r="U39" s="6"/>
      <c r="V39" s="6"/>
      <c r="W39" s="6"/>
      <c r="X39" s="6"/>
      <c r="Y39" s="6"/>
      <c r="Z39" s="6"/>
      <c r="AA39" s="6"/>
      <c r="AB39" s="6"/>
      <c r="AC39" s="6"/>
      <c r="AD39" s="6" t="s">
        <v>70</v>
      </c>
      <c r="AE39" s="6" t="s">
        <v>71</v>
      </c>
    </row>
    <row r="40" spans="1:31" ht="29" x14ac:dyDescent="0.35">
      <c r="A40" s="6" t="s">
        <v>117</v>
      </c>
      <c r="B40" s="7">
        <v>10</v>
      </c>
      <c r="C40" s="7" t="s">
        <v>6</v>
      </c>
      <c r="D40" s="8" t="s">
        <v>112</v>
      </c>
      <c r="E40" s="6"/>
      <c r="F40" s="6"/>
      <c r="G40" s="6"/>
      <c r="H40" s="6"/>
      <c r="I40" s="6"/>
      <c r="J40" s="6"/>
      <c r="K40" s="6"/>
      <c r="L40" s="6"/>
      <c r="M40" s="6"/>
      <c r="N40" s="6"/>
      <c r="O40" s="6"/>
      <c r="P40" s="6"/>
      <c r="Q40" s="6"/>
      <c r="R40" s="6"/>
      <c r="S40" s="6"/>
      <c r="T40" s="6"/>
      <c r="U40" s="6"/>
      <c r="V40" s="6"/>
      <c r="W40" s="6"/>
      <c r="X40" s="6"/>
      <c r="Y40" s="6"/>
      <c r="Z40" s="6"/>
      <c r="AA40" s="6"/>
      <c r="AB40" s="6"/>
      <c r="AC40" s="6"/>
      <c r="AD40" s="6" t="s">
        <v>70</v>
      </c>
      <c r="AE40" s="6" t="s">
        <v>71</v>
      </c>
    </row>
    <row r="41" spans="1:31" ht="29" x14ac:dyDescent="0.35">
      <c r="A41" s="6" t="s">
        <v>118</v>
      </c>
      <c r="B41" s="7">
        <v>10</v>
      </c>
      <c r="C41" s="7" t="s">
        <v>6</v>
      </c>
      <c r="D41" s="8" t="s">
        <v>114</v>
      </c>
      <c r="E41" s="6"/>
      <c r="F41" s="6"/>
      <c r="G41" s="6"/>
      <c r="H41" s="6"/>
      <c r="I41" s="6"/>
      <c r="J41" s="6"/>
      <c r="K41" s="6"/>
      <c r="L41" s="6"/>
      <c r="M41" s="6"/>
      <c r="N41" s="6"/>
      <c r="O41" s="6"/>
      <c r="P41" s="6"/>
      <c r="Q41" s="6"/>
      <c r="R41" s="6"/>
      <c r="S41" s="6"/>
      <c r="T41" s="6"/>
      <c r="U41" s="6"/>
      <c r="V41" s="6"/>
      <c r="W41" s="6"/>
      <c r="X41" s="6"/>
      <c r="Y41" s="6"/>
      <c r="Z41" s="6"/>
      <c r="AA41" s="6"/>
      <c r="AB41" s="6"/>
      <c r="AC41" s="6"/>
      <c r="AD41" s="6" t="s">
        <v>70</v>
      </c>
      <c r="AE41" s="6" t="s">
        <v>71</v>
      </c>
    </row>
    <row r="42" spans="1:31" x14ac:dyDescent="0.35">
      <c r="A42" s="6" t="s">
        <v>119</v>
      </c>
      <c r="B42" s="6">
        <v>11</v>
      </c>
      <c r="C42" s="6" t="s">
        <v>68</v>
      </c>
      <c r="D42" s="10" t="s">
        <v>120</v>
      </c>
      <c r="E42" s="6" t="s">
        <v>121</v>
      </c>
      <c r="F42" s="6" t="str">
        <f>A80</f>
        <v>Fn-011</v>
      </c>
      <c r="G42" s="6"/>
      <c r="H42" s="6"/>
      <c r="I42" s="6"/>
      <c r="J42" s="6"/>
      <c r="K42" s="6"/>
      <c r="L42" s="6"/>
      <c r="M42" s="6"/>
      <c r="N42" s="6"/>
      <c r="O42" s="6"/>
      <c r="P42" s="6"/>
      <c r="Q42" s="6"/>
      <c r="R42" s="6"/>
      <c r="S42" s="6"/>
      <c r="T42" s="6"/>
      <c r="U42" s="6"/>
      <c r="V42" s="6"/>
      <c r="W42" s="6"/>
      <c r="X42" s="6"/>
      <c r="Y42" s="6"/>
      <c r="Z42" s="6"/>
      <c r="AA42" s="6"/>
      <c r="AB42" s="6"/>
      <c r="AC42" s="6"/>
      <c r="AD42" s="6" t="s">
        <v>122</v>
      </c>
      <c r="AE42" s="6" t="s">
        <v>123</v>
      </c>
    </row>
    <row r="43" spans="1:31" x14ac:dyDescent="0.35">
      <c r="A43" s="6" t="s">
        <v>124</v>
      </c>
      <c r="B43" s="7">
        <v>11</v>
      </c>
      <c r="C43" s="7" t="s">
        <v>68</v>
      </c>
      <c r="D43" s="10" t="s">
        <v>125</v>
      </c>
      <c r="E43" s="6" t="s">
        <v>126</v>
      </c>
      <c r="F43" s="6"/>
      <c r="G43" s="6"/>
      <c r="H43" s="6"/>
      <c r="I43" s="6"/>
      <c r="J43" s="6"/>
      <c r="K43" s="6"/>
      <c r="L43" s="6"/>
      <c r="M43" s="6"/>
      <c r="N43" s="6"/>
      <c r="O43" s="6"/>
      <c r="P43" s="6"/>
      <c r="Q43" s="6"/>
      <c r="R43" s="6"/>
      <c r="S43" s="6"/>
      <c r="T43" s="6"/>
      <c r="U43" s="6"/>
      <c r="V43" s="6"/>
      <c r="W43" s="6"/>
      <c r="X43" s="6"/>
      <c r="Y43" s="6"/>
      <c r="Z43" s="6"/>
      <c r="AA43" s="6"/>
      <c r="AB43" s="6"/>
      <c r="AC43" s="6"/>
      <c r="AD43" s="6" t="s">
        <v>122</v>
      </c>
      <c r="AE43" s="6" t="s">
        <v>123</v>
      </c>
    </row>
    <row r="44" spans="1:31" x14ac:dyDescent="0.35">
      <c r="A44" s="6" t="s">
        <v>127</v>
      </c>
      <c r="B44" s="6">
        <v>11</v>
      </c>
      <c r="C44" s="6" t="s">
        <v>128</v>
      </c>
      <c r="D44" s="10" t="s">
        <v>129</v>
      </c>
      <c r="E44" s="6" t="s">
        <v>130</v>
      </c>
      <c r="F44" s="6"/>
      <c r="G44" s="6"/>
      <c r="H44" s="6"/>
      <c r="I44" s="6"/>
      <c r="J44" s="6"/>
      <c r="K44" s="6"/>
      <c r="L44" s="6"/>
      <c r="M44" s="6"/>
      <c r="N44" s="6"/>
      <c r="O44" s="6"/>
      <c r="P44" s="6"/>
      <c r="Q44" s="6"/>
      <c r="R44" s="6"/>
      <c r="S44" s="6"/>
      <c r="T44" s="6"/>
      <c r="U44" s="6"/>
      <c r="V44" s="6"/>
      <c r="W44" s="6"/>
      <c r="X44" s="6"/>
      <c r="Y44" s="6"/>
      <c r="Z44" s="6"/>
      <c r="AA44" s="6"/>
      <c r="AB44" s="6"/>
      <c r="AC44" s="6"/>
      <c r="AD44" s="6" t="s">
        <v>122</v>
      </c>
      <c r="AE44" s="6" t="s">
        <v>123</v>
      </c>
    </row>
    <row r="45" spans="1:31" x14ac:dyDescent="0.35">
      <c r="A45" s="6" t="s">
        <v>131</v>
      </c>
      <c r="B45" s="6">
        <v>11</v>
      </c>
      <c r="C45" s="6" t="s">
        <v>68</v>
      </c>
      <c r="D45" s="10" t="s">
        <v>96</v>
      </c>
      <c r="E45" s="6"/>
      <c r="F45" s="6" t="str">
        <f>A47</f>
        <v>Fn-006</v>
      </c>
      <c r="G45" s="6"/>
      <c r="H45" s="6"/>
      <c r="I45" s="6"/>
      <c r="J45" s="6"/>
      <c r="K45" s="6"/>
      <c r="L45" s="6"/>
      <c r="M45" s="6"/>
      <c r="N45" s="6"/>
      <c r="O45" s="6"/>
      <c r="P45" s="6"/>
      <c r="Q45" s="6"/>
      <c r="R45" s="6"/>
      <c r="S45" s="6"/>
      <c r="T45" s="6"/>
      <c r="U45" s="6"/>
      <c r="V45" s="6"/>
      <c r="W45" s="6"/>
      <c r="X45" s="6"/>
      <c r="Y45" s="6"/>
      <c r="Z45" s="6"/>
      <c r="AA45" s="6"/>
      <c r="AB45" s="6"/>
      <c r="AC45" s="6"/>
      <c r="AD45" s="6" t="s">
        <v>122</v>
      </c>
      <c r="AE45" s="6" t="s">
        <v>123</v>
      </c>
    </row>
    <row r="46" spans="1:31" ht="29" x14ac:dyDescent="0.35">
      <c r="A46" s="6" t="s">
        <v>132</v>
      </c>
      <c r="B46" s="6">
        <v>11</v>
      </c>
      <c r="C46" s="6" t="s">
        <v>128</v>
      </c>
      <c r="D46" s="10" t="s">
        <v>133</v>
      </c>
      <c r="E46" s="6" t="s">
        <v>134</v>
      </c>
      <c r="F46" s="6"/>
      <c r="G46" s="6"/>
      <c r="H46" s="6"/>
      <c r="I46" s="6"/>
      <c r="J46" s="6"/>
      <c r="K46" s="6"/>
      <c r="L46" s="6"/>
      <c r="M46" s="6"/>
      <c r="N46" s="6"/>
      <c r="O46" s="6"/>
      <c r="P46" s="6"/>
      <c r="Q46" s="6"/>
      <c r="R46" s="6"/>
      <c r="S46" s="6"/>
      <c r="T46" s="6"/>
      <c r="U46" s="6"/>
      <c r="V46" s="6"/>
      <c r="W46" s="6"/>
      <c r="X46" s="6"/>
      <c r="Y46" s="6"/>
      <c r="Z46" s="6"/>
      <c r="AA46" s="6"/>
      <c r="AB46" s="6"/>
      <c r="AC46" s="6"/>
      <c r="AD46" s="6" t="s">
        <v>122</v>
      </c>
      <c r="AE46" s="6" t="s">
        <v>123</v>
      </c>
    </row>
    <row r="47" spans="1:31" ht="43.5" x14ac:dyDescent="0.35">
      <c r="A47" s="6" t="s">
        <v>135</v>
      </c>
      <c r="B47" s="6">
        <v>11</v>
      </c>
      <c r="C47" s="6" t="s">
        <v>79</v>
      </c>
      <c r="D47" s="10" t="s">
        <v>136</v>
      </c>
      <c r="E47" s="6"/>
      <c r="F47" s="6"/>
      <c r="G47" s="6"/>
      <c r="H47" s="6"/>
      <c r="I47" s="6"/>
      <c r="J47" s="6"/>
      <c r="K47" s="6"/>
      <c r="L47" s="6"/>
      <c r="M47" s="6"/>
      <c r="N47" s="6"/>
      <c r="O47" s="6"/>
      <c r="P47" s="6"/>
      <c r="Q47" s="6"/>
      <c r="R47" s="6"/>
      <c r="S47" s="6"/>
      <c r="T47" s="6"/>
      <c r="U47" s="6"/>
      <c r="V47" s="6"/>
      <c r="W47" s="6"/>
      <c r="X47" s="6"/>
      <c r="Y47" s="6"/>
      <c r="Z47" s="6"/>
      <c r="AA47" s="6"/>
      <c r="AB47" s="6"/>
      <c r="AC47" s="6"/>
      <c r="AD47" s="6" t="s">
        <v>122</v>
      </c>
      <c r="AE47" s="6" t="s">
        <v>123</v>
      </c>
    </row>
    <row r="48" spans="1:31" x14ac:dyDescent="0.35">
      <c r="A48" s="6" t="s">
        <v>137</v>
      </c>
      <c r="B48" s="6">
        <v>11</v>
      </c>
      <c r="C48" s="6" t="s">
        <v>79</v>
      </c>
      <c r="D48" s="10" t="s">
        <v>138</v>
      </c>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spans="1:31" ht="117" customHeight="1" x14ac:dyDescent="0.35">
      <c r="A49" s="6" t="s">
        <v>139</v>
      </c>
      <c r="B49" s="6">
        <v>11</v>
      </c>
      <c r="C49" s="6" t="s">
        <v>79</v>
      </c>
      <c r="D49" s="10" t="s">
        <v>140</v>
      </c>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spans="1:31" x14ac:dyDescent="0.35">
      <c r="A50" s="6" t="s">
        <v>141</v>
      </c>
      <c r="B50" s="6">
        <v>11</v>
      </c>
      <c r="C50" s="6" t="s">
        <v>79</v>
      </c>
      <c r="D50" s="10"/>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spans="1:31" x14ac:dyDescent="0.35">
      <c r="A51" s="6" t="s">
        <v>142</v>
      </c>
      <c r="B51" s="7">
        <v>12</v>
      </c>
      <c r="C51" s="6" t="s">
        <v>4</v>
      </c>
      <c r="D51" s="6" t="s">
        <v>143</v>
      </c>
      <c r="E51" s="6"/>
      <c r="F51" s="6"/>
      <c r="G51" s="6"/>
      <c r="H51" s="6"/>
      <c r="I51" s="6"/>
      <c r="J51" s="6"/>
      <c r="K51" s="6"/>
      <c r="L51" s="6"/>
      <c r="M51" s="6"/>
      <c r="N51" s="6"/>
      <c r="O51" s="6"/>
      <c r="P51" s="6"/>
      <c r="Q51" s="6"/>
      <c r="R51" s="6"/>
      <c r="S51" s="6"/>
      <c r="T51" s="6"/>
      <c r="U51" s="6"/>
      <c r="V51" s="6"/>
      <c r="W51" s="6"/>
      <c r="X51" s="6"/>
      <c r="Y51" s="6"/>
      <c r="Z51" s="6"/>
      <c r="AA51" s="6"/>
      <c r="AB51" s="6"/>
      <c r="AC51" s="6"/>
      <c r="AD51" s="6" t="s">
        <v>122</v>
      </c>
      <c r="AE51" s="6" t="s">
        <v>123</v>
      </c>
    </row>
    <row r="52" spans="1:31" x14ac:dyDescent="0.35">
      <c r="A52" s="6" t="s">
        <v>144</v>
      </c>
      <c r="B52" s="7">
        <v>12</v>
      </c>
      <c r="C52" s="6" t="s">
        <v>4</v>
      </c>
      <c r="D52" s="6" t="s">
        <v>145</v>
      </c>
      <c r="E52" s="6"/>
      <c r="F52" s="6"/>
      <c r="G52" s="6"/>
      <c r="H52" s="6"/>
      <c r="I52" s="6"/>
      <c r="J52" s="6"/>
      <c r="K52" s="6"/>
      <c r="L52" s="6"/>
      <c r="M52" s="6"/>
      <c r="N52" s="6"/>
      <c r="O52" s="6"/>
      <c r="P52" s="6"/>
      <c r="Q52" s="6"/>
      <c r="R52" s="6"/>
      <c r="S52" s="6"/>
      <c r="T52" s="6"/>
      <c r="U52" s="6"/>
      <c r="V52" s="6"/>
      <c r="W52" s="6"/>
      <c r="X52" s="6"/>
      <c r="Y52" s="6"/>
      <c r="Z52" s="6"/>
      <c r="AA52" s="6"/>
      <c r="AB52" s="6"/>
      <c r="AC52" s="6"/>
      <c r="AD52" s="6" t="s">
        <v>122</v>
      </c>
      <c r="AE52" s="6" t="s">
        <v>123</v>
      </c>
    </row>
    <row r="53" spans="1:31" x14ac:dyDescent="0.35">
      <c r="A53" s="6" t="s">
        <v>146</v>
      </c>
      <c r="B53" s="7">
        <v>12</v>
      </c>
      <c r="C53" s="6" t="s">
        <v>4</v>
      </c>
      <c r="D53" s="6" t="s">
        <v>147</v>
      </c>
      <c r="E53" s="6"/>
      <c r="F53" s="6"/>
      <c r="G53" s="6"/>
      <c r="H53" s="6"/>
      <c r="I53" s="6"/>
      <c r="J53" s="6"/>
      <c r="K53" s="6"/>
      <c r="L53" s="6"/>
      <c r="M53" s="6"/>
      <c r="N53" s="6"/>
      <c r="O53" s="6"/>
      <c r="P53" s="6"/>
      <c r="Q53" s="6"/>
      <c r="R53" s="6"/>
      <c r="S53" s="6"/>
      <c r="T53" s="6"/>
      <c r="U53" s="6"/>
      <c r="V53" s="6"/>
      <c r="W53" s="6"/>
      <c r="X53" s="6"/>
      <c r="Y53" s="6"/>
      <c r="Z53" s="6"/>
      <c r="AA53" s="6"/>
      <c r="AB53" s="6"/>
      <c r="AC53" s="6"/>
      <c r="AD53" s="6" t="s">
        <v>122</v>
      </c>
      <c r="AE53" s="6" t="s">
        <v>123</v>
      </c>
    </row>
    <row r="54" spans="1:31" x14ac:dyDescent="0.35">
      <c r="A54" s="6" t="s">
        <v>148</v>
      </c>
      <c r="B54" s="7">
        <v>12</v>
      </c>
      <c r="C54" s="6" t="s">
        <v>4</v>
      </c>
      <c r="D54" s="6" t="s">
        <v>149</v>
      </c>
      <c r="E54" s="6"/>
      <c r="F54" s="6"/>
      <c r="G54" s="6"/>
      <c r="H54" s="6"/>
      <c r="I54" s="6"/>
      <c r="J54" s="6"/>
      <c r="K54" s="6"/>
      <c r="L54" s="6"/>
      <c r="M54" s="6"/>
      <c r="N54" s="6"/>
      <c r="O54" s="6"/>
      <c r="P54" s="6"/>
      <c r="Q54" s="6"/>
      <c r="R54" s="6"/>
      <c r="S54" s="6"/>
      <c r="T54" s="6"/>
      <c r="U54" s="6"/>
      <c r="V54" s="6"/>
      <c r="W54" s="6"/>
      <c r="X54" s="6"/>
      <c r="Y54" s="6"/>
      <c r="Z54" s="6"/>
      <c r="AA54" s="6"/>
      <c r="AB54" s="6"/>
      <c r="AC54" s="6"/>
      <c r="AD54" s="6" t="s">
        <v>122</v>
      </c>
      <c r="AE54" s="6" t="s">
        <v>123</v>
      </c>
    </row>
    <row r="55" spans="1:31" ht="43.5" x14ac:dyDescent="0.35">
      <c r="A55" s="6" t="s">
        <v>150</v>
      </c>
      <c r="B55" s="7">
        <v>12</v>
      </c>
      <c r="C55" s="6" t="s">
        <v>4</v>
      </c>
      <c r="D55" s="10" t="s">
        <v>151</v>
      </c>
      <c r="E55" s="6"/>
      <c r="F55" s="6"/>
      <c r="G55" s="6"/>
      <c r="H55" s="6"/>
      <c r="I55" s="6"/>
      <c r="J55" s="6"/>
      <c r="K55" s="6"/>
      <c r="L55" s="6"/>
      <c r="M55" s="6"/>
      <c r="N55" s="6"/>
      <c r="O55" s="6"/>
      <c r="P55" s="6"/>
      <c r="Q55" s="6"/>
      <c r="R55" s="6"/>
      <c r="S55" s="6"/>
      <c r="T55" s="6"/>
      <c r="U55" s="6"/>
      <c r="V55" s="6"/>
      <c r="W55" s="6"/>
      <c r="X55" s="6"/>
      <c r="Y55" s="6"/>
      <c r="Z55" s="6"/>
      <c r="AA55" s="6"/>
      <c r="AB55" s="6"/>
      <c r="AC55" s="6"/>
      <c r="AD55" s="6" t="s">
        <v>122</v>
      </c>
      <c r="AE55" s="6" t="s">
        <v>123</v>
      </c>
    </row>
    <row r="56" spans="1:31" ht="72.5" x14ac:dyDescent="0.35">
      <c r="A56" s="6" t="s">
        <v>152</v>
      </c>
      <c r="B56" s="7">
        <v>12</v>
      </c>
      <c r="C56" s="6" t="s">
        <v>4</v>
      </c>
      <c r="D56" s="10" t="s">
        <v>153</v>
      </c>
      <c r="E56" s="6"/>
      <c r="F56" s="6"/>
      <c r="G56" s="6"/>
      <c r="H56" s="6"/>
      <c r="I56" s="6"/>
      <c r="J56" s="6"/>
      <c r="K56" s="6"/>
      <c r="L56" s="6"/>
      <c r="M56" s="6"/>
      <c r="N56" s="6"/>
      <c r="O56" s="6"/>
      <c r="P56" s="6"/>
      <c r="Q56" s="6"/>
      <c r="R56" s="6"/>
      <c r="S56" s="6"/>
      <c r="T56" s="6"/>
      <c r="U56" s="6"/>
      <c r="V56" s="6"/>
      <c r="W56" s="6"/>
      <c r="X56" s="6"/>
      <c r="Y56" s="6"/>
      <c r="Z56" s="6"/>
      <c r="AA56" s="6"/>
      <c r="AB56" s="6"/>
      <c r="AC56" s="6"/>
      <c r="AD56" s="6" t="s">
        <v>122</v>
      </c>
      <c r="AE56" s="6" t="s">
        <v>123</v>
      </c>
    </row>
    <row r="57" spans="1:31" x14ac:dyDescent="0.35">
      <c r="A57" s="6" t="s">
        <v>154</v>
      </c>
      <c r="B57" s="7">
        <v>12</v>
      </c>
      <c r="C57" s="6" t="s">
        <v>4</v>
      </c>
      <c r="D57" s="6" t="s">
        <v>155</v>
      </c>
      <c r="E57" s="6"/>
      <c r="F57" s="6"/>
      <c r="G57" s="6"/>
      <c r="H57" s="6"/>
      <c r="I57" s="6"/>
      <c r="J57" s="6"/>
      <c r="K57" s="6"/>
      <c r="L57" s="6"/>
      <c r="M57" s="6"/>
      <c r="N57" s="6"/>
      <c r="O57" s="6"/>
      <c r="P57" s="6"/>
      <c r="Q57" s="6"/>
      <c r="R57" s="6"/>
      <c r="S57" s="6"/>
      <c r="T57" s="6"/>
      <c r="U57" s="6"/>
      <c r="V57" s="6"/>
      <c r="W57" s="6"/>
      <c r="X57" s="6"/>
      <c r="Y57" s="6"/>
      <c r="Z57" s="6"/>
      <c r="AA57" s="6"/>
      <c r="AB57" s="6"/>
      <c r="AC57" s="6"/>
      <c r="AD57" s="6" t="s">
        <v>122</v>
      </c>
      <c r="AE57" s="6" t="s">
        <v>123</v>
      </c>
    </row>
    <row r="58" spans="1:31" ht="29" x14ac:dyDescent="0.35">
      <c r="A58" s="6" t="s">
        <v>156</v>
      </c>
      <c r="B58" s="6">
        <v>12</v>
      </c>
      <c r="C58" s="6" t="s">
        <v>4</v>
      </c>
      <c r="D58" s="10" t="s">
        <v>157</v>
      </c>
      <c r="E58" s="6"/>
      <c r="F58" s="6"/>
      <c r="G58" s="6"/>
      <c r="H58" s="6"/>
      <c r="I58" s="6"/>
      <c r="J58" s="6"/>
      <c r="K58" s="6"/>
      <c r="L58" s="6"/>
      <c r="M58" s="6"/>
      <c r="N58" s="6"/>
      <c r="O58" s="6"/>
      <c r="P58" s="6"/>
      <c r="Q58" s="6"/>
      <c r="R58" s="6"/>
      <c r="S58" s="6"/>
      <c r="T58" s="6"/>
      <c r="U58" s="6"/>
      <c r="V58" s="6"/>
      <c r="W58" s="6"/>
      <c r="X58" s="6"/>
      <c r="Y58" s="6"/>
      <c r="Z58" s="6"/>
      <c r="AA58" s="6"/>
      <c r="AB58" s="6"/>
      <c r="AC58" s="6"/>
      <c r="AD58" s="6" t="s">
        <v>122</v>
      </c>
      <c r="AE58" s="6" t="s">
        <v>123</v>
      </c>
    </row>
    <row r="59" spans="1:31" x14ac:dyDescent="0.35">
      <c r="A59" s="6" t="s">
        <v>158</v>
      </c>
      <c r="B59" s="6">
        <v>12</v>
      </c>
      <c r="C59" s="6" t="s">
        <v>4</v>
      </c>
      <c r="D59" s="10" t="s">
        <v>159</v>
      </c>
      <c r="E59" s="6"/>
      <c r="F59" s="6"/>
      <c r="G59" s="6"/>
      <c r="H59" s="6"/>
      <c r="I59" s="6"/>
      <c r="J59" s="6"/>
      <c r="K59" s="6"/>
      <c r="L59" s="6"/>
      <c r="M59" s="6"/>
      <c r="N59" s="6"/>
      <c r="O59" s="6"/>
      <c r="P59" s="6"/>
      <c r="Q59" s="6"/>
      <c r="R59" s="6"/>
      <c r="S59" s="6"/>
      <c r="T59" s="6"/>
      <c r="U59" s="6"/>
      <c r="V59" s="6"/>
      <c r="W59" s="6"/>
      <c r="X59" s="6"/>
      <c r="Y59" s="6"/>
      <c r="Z59" s="6"/>
      <c r="AA59" s="6"/>
      <c r="AB59" s="6"/>
      <c r="AC59" s="6"/>
      <c r="AD59" s="6" t="s">
        <v>122</v>
      </c>
      <c r="AE59" s="6" t="s">
        <v>123</v>
      </c>
    </row>
    <row r="60" spans="1:31" x14ac:dyDescent="0.35">
      <c r="A60" s="6" t="s">
        <v>160</v>
      </c>
      <c r="B60" s="6">
        <v>12</v>
      </c>
      <c r="C60" s="6" t="s">
        <v>4</v>
      </c>
      <c r="D60" s="6" t="s">
        <v>161</v>
      </c>
      <c r="E60" s="6"/>
      <c r="F60" s="6"/>
      <c r="G60" s="6"/>
      <c r="H60" s="6"/>
      <c r="I60" s="6"/>
      <c r="J60" s="6"/>
      <c r="K60" s="6"/>
      <c r="L60" s="6"/>
      <c r="M60" s="6"/>
      <c r="N60" s="6"/>
      <c r="O60" s="6"/>
      <c r="P60" s="6"/>
      <c r="Q60" s="6"/>
      <c r="R60" s="6"/>
      <c r="S60" s="6"/>
      <c r="T60" s="6"/>
      <c r="U60" s="6"/>
      <c r="V60" s="6"/>
      <c r="W60" s="6"/>
      <c r="X60" s="6"/>
      <c r="Y60" s="6"/>
      <c r="Z60" s="6"/>
      <c r="AA60" s="6"/>
      <c r="AB60" s="6"/>
      <c r="AC60" s="6"/>
      <c r="AD60" s="6" t="s">
        <v>122</v>
      </c>
      <c r="AE60" s="6" t="s">
        <v>123</v>
      </c>
    </row>
    <row r="61" spans="1:31" x14ac:dyDescent="0.35">
      <c r="A61" s="6" t="s">
        <v>162</v>
      </c>
      <c r="B61" s="6">
        <v>12</v>
      </c>
      <c r="C61" s="6" t="s">
        <v>4</v>
      </c>
      <c r="D61" s="6" t="s">
        <v>163</v>
      </c>
      <c r="E61" s="6"/>
      <c r="F61" s="6"/>
      <c r="G61" s="6"/>
      <c r="H61" s="6"/>
      <c r="I61" s="6"/>
      <c r="J61" s="6"/>
      <c r="K61" s="6"/>
      <c r="L61" s="6"/>
      <c r="M61" s="6"/>
      <c r="N61" s="6"/>
      <c r="O61" s="6"/>
      <c r="P61" s="6"/>
      <c r="Q61" s="6"/>
      <c r="R61" s="6"/>
      <c r="S61" s="6"/>
      <c r="T61" s="6"/>
      <c r="U61" s="6"/>
      <c r="V61" s="6"/>
      <c r="W61" s="6"/>
      <c r="X61" s="6"/>
      <c r="Y61" s="6"/>
      <c r="Z61" s="6"/>
      <c r="AA61" s="6"/>
      <c r="AB61" s="6"/>
      <c r="AC61" s="6"/>
      <c r="AD61" s="6" t="s">
        <v>122</v>
      </c>
      <c r="AE61" s="6" t="s">
        <v>123</v>
      </c>
    </row>
    <row r="62" spans="1:31" x14ac:dyDescent="0.35">
      <c r="A62" s="6" t="s">
        <v>164</v>
      </c>
      <c r="B62" s="6">
        <v>12</v>
      </c>
      <c r="C62" s="6" t="s">
        <v>4</v>
      </c>
      <c r="D62" s="6" t="s">
        <v>165</v>
      </c>
      <c r="E62" s="6"/>
      <c r="F62" s="6"/>
      <c r="G62" s="6"/>
      <c r="H62" s="6"/>
      <c r="I62" s="6"/>
      <c r="J62" s="6"/>
      <c r="K62" s="6"/>
      <c r="L62" s="6"/>
      <c r="M62" s="6"/>
      <c r="N62" s="6"/>
      <c r="O62" s="6"/>
      <c r="P62" s="6"/>
      <c r="Q62" s="6"/>
      <c r="R62" s="6"/>
      <c r="S62" s="6"/>
      <c r="T62" s="6"/>
      <c r="U62" s="6"/>
      <c r="V62" s="6"/>
      <c r="W62" s="6"/>
      <c r="X62" s="6"/>
      <c r="Y62" s="6"/>
      <c r="Z62" s="6"/>
      <c r="AA62" s="6"/>
      <c r="AB62" s="6"/>
      <c r="AC62" s="6"/>
      <c r="AD62" s="6" t="s">
        <v>122</v>
      </c>
      <c r="AE62" s="6" t="s">
        <v>123</v>
      </c>
    </row>
    <row r="63" spans="1:31" x14ac:dyDescent="0.35">
      <c r="A63" s="6" t="s">
        <v>166</v>
      </c>
      <c r="B63" s="6">
        <v>12</v>
      </c>
      <c r="C63" s="6" t="s">
        <v>4</v>
      </c>
      <c r="D63" s="6" t="s">
        <v>167</v>
      </c>
      <c r="E63" s="6"/>
      <c r="F63" s="6"/>
      <c r="G63" s="6"/>
      <c r="H63" s="6"/>
      <c r="I63" s="6"/>
      <c r="J63" s="6"/>
      <c r="K63" s="6"/>
      <c r="L63" s="6"/>
      <c r="M63" s="6"/>
      <c r="N63" s="6"/>
      <c r="O63" s="6"/>
      <c r="P63" s="6"/>
      <c r="Q63" s="6"/>
      <c r="R63" s="6"/>
      <c r="S63" s="6"/>
      <c r="T63" s="6"/>
      <c r="U63" s="6"/>
      <c r="V63" s="6"/>
      <c r="W63" s="6"/>
      <c r="X63" s="6"/>
      <c r="Y63" s="6"/>
      <c r="Z63" s="6"/>
      <c r="AA63" s="6"/>
      <c r="AB63" s="6"/>
      <c r="AC63" s="6"/>
      <c r="AD63" s="6" t="s">
        <v>122</v>
      </c>
      <c r="AE63" s="6" t="s">
        <v>123</v>
      </c>
    </row>
    <row r="64" spans="1:31" x14ac:dyDescent="0.35">
      <c r="A64" s="6" t="s">
        <v>168</v>
      </c>
      <c r="B64" s="6">
        <v>12</v>
      </c>
      <c r="C64" s="6" t="s">
        <v>4</v>
      </c>
      <c r="D64" s="6" t="s">
        <v>169</v>
      </c>
      <c r="E64" s="6"/>
      <c r="F64" s="6"/>
      <c r="G64" s="6"/>
      <c r="H64" s="6"/>
      <c r="I64" s="6"/>
      <c r="J64" s="6"/>
      <c r="K64" s="6"/>
      <c r="L64" s="6"/>
      <c r="M64" s="6"/>
      <c r="N64" s="6"/>
      <c r="O64" s="6"/>
      <c r="P64" s="6"/>
      <c r="Q64" s="6"/>
      <c r="R64" s="6"/>
      <c r="S64" s="6"/>
      <c r="T64" s="6"/>
      <c r="U64" s="6"/>
      <c r="V64" s="6"/>
      <c r="W64" s="6"/>
      <c r="X64" s="6"/>
      <c r="Y64" s="6"/>
      <c r="Z64" s="6"/>
      <c r="AA64" s="6"/>
      <c r="AB64" s="6"/>
      <c r="AC64" s="6"/>
      <c r="AD64" s="6" t="s">
        <v>122</v>
      </c>
      <c r="AE64" s="6" t="s">
        <v>123</v>
      </c>
    </row>
    <row r="65" spans="1:31" x14ac:dyDescent="0.35">
      <c r="A65" s="6" t="s">
        <v>170</v>
      </c>
      <c r="B65" s="6">
        <v>12</v>
      </c>
      <c r="C65" s="6" t="s">
        <v>4</v>
      </c>
      <c r="D65" s="6" t="s">
        <v>171</v>
      </c>
      <c r="E65" s="6"/>
      <c r="F65" s="6"/>
      <c r="G65" s="6"/>
      <c r="H65" s="6"/>
      <c r="I65" s="6"/>
      <c r="J65" s="6"/>
      <c r="K65" s="6"/>
      <c r="L65" s="6"/>
      <c r="M65" s="6"/>
      <c r="N65" s="6"/>
      <c r="O65" s="6"/>
      <c r="P65" s="6"/>
      <c r="Q65" s="6"/>
      <c r="R65" s="6"/>
      <c r="S65" s="6"/>
      <c r="T65" s="6"/>
      <c r="U65" s="6"/>
      <c r="V65" s="6"/>
      <c r="W65" s="6"/>
      <c r="X65" s="6"/>
      <c r="Y65" s="6"/>
      <c r="Z65" s="6"/>
      <c r="AA65" s="6"/>
      <c r="AB65" s="6"/>
      <c r="AC65" s="6"/>
      <c r="AD65" s="6" t="s">
        <v>122</v>
      </c>
      <c r="AE65" s="6" t="s">
        <v>123</v>
      </c>
    </row>
    <row r="66" spans="1:31" x14ac:dyDescent="0.35">
      <c r="A66" s="6" t="s">
        <v>172</v>
      </c>
      <c r="B66" s="6">
        <v>12</v>
      </c>
      <c r="C66" s="6" t="s">
        <v>4</v>
      </c>
      <c r="D66" s="6" t="s">
        <v>173</v>
      </c>
      <c r="E66" s="6"/>
      <c r="F66" s="6"/>
      <c r="G66" s="6"/>
      <c r="H66" s="6"/>
      <c r="I66" s="6"/>
      <c r="J66" s="6"/>
      <c r="K66" s="6"/>
      <c r="L66" s="6"/>
      <c r="M66" s="6"/>
      <c r="N66" s="6"/>
      <c r="O66" s="6"/>
      <c r="P66" s="6"/>
      <c r="Q66" s="6"/>
      <c r="R66" s="6"/>
      <c r="S66" s="6"/>
      <c r="T66" s="6"/>
      <c r="U66" s="6"/>
      <c r="V66" s="6"/>
      <c r="W66" s="6"/>
      <c r="X66" s="6"/>
      <c r="Y66" s="6"/>
      <c r="Z66" s="6"/>
      <c r="AA66" s="6"/>
      <c r="AB66" s="6"/>
      <c r="AC66" s="6"/>
      <c r="AD66" s="6" t="s">
        <v>122</v>
      </c>
      <c r="AE66" s="6" t="s">
        <v>123</v>
      </c>
    </row>
    <row r="67" spans="1:31" x14ac:dyDescent="0.35">
      <c r="A67" s="6" t="s">
        <v>174</v>
      </c>
      <c r="B67" s="6">
        <v>12</v>
      </c>
      <c r="C67" s="6" t="s">
        <v>4</v>
      </c>
      <c r="D67" s="6" t="s">
        <v>175</v>
      </c>
      <c r="E67" s="6"/>
      <c r="F67" s="6"/>
      <c r="G67" s="6"/>
      <c r="H67" s="6"/>
      <c r="I67" s="6"/>
      <c r="J67" s="6"/>
      <c r="K67" s="6"/>
      <c r="L67" s="6"/>
      <c r="M67" s="6"/>
      <c r="N67" s="6"/>
      <c r="O67" s="6"/>
      <c r="P67" s="6"/>
      <c r="Q67" s="6"/>
      <c r="R67" s="6"/>
      <c r="S67" s="6"/>
      <c r="T67" s="6"/>
      <c r="U67" s="6"/>
      <c r="V67" s="6"/>
      <c r="W67" s="6"/>
      <c r="X67" s="6"/>
      <c r="Y67" s="6"/>
      <c r="Z67" s="6"/>
      <c r="AA67" s="6"/>
      <c r="AB67" s="6"/>
      <c r="AC67" s="6"/>
      <c r="AD67" s="6" t="s">
        <v>122</v>
      </c>
      <c r="AE67" s="6" t="s">
        <v>123</v>
      </c>
    </row>
    <row r="68" spans="1:31" x14ac:dyDescent="0.35">
      <c r="A68" s="6" t="s">
        <v>176</v>
      </c>
      <c r="B68" s="6">
        <v>12</v>
      </c>
      <c r="C68" s="6" t="s">
        <v>4</v>
      </c>
      <c r="D68" s="6" t="s">
        <v>177</v>
      </c>
      <c r="E68" s="6"/>
      <c r="F68" s="6"/>
      <c r="G68" s="6"/>
      <c r="H68" s="6"/>
      <c r="I68" s="6"/>
      <c r="J68" s="6"/>
      <c r="K68" s="6"/>
      <c r="L68" s="6"/>
      <c r="M68" s="6"/>
      <c r="N68" s="6"/>
      <c r="O68" s="6"/>
      <c r="P68" s="6"/>
      <c r="Q68" s="6"/>
      <c r="R68" s="6"/>
      <c r="S68" s="6"/>
      <c r="T68" s="6"/>
      <c r="U68" s="6"/>
      <c r="V68" s="6"/>
      <c r="W68" s="6"/>
      <c r="X68" s="6"/>
      <c r="Y68" s="6"/>
      <c r="Z68" s="6"/>
      <c r="AA68" s="6"/>
      <c r="AB68" s="6"/>
      <c r="AC68" s="6"/>
      <c r="AD68" s="6" t="s">
        <v>122</v>
      </c>
      <c r="AE68" s="6" t="s">
        <v>123</v>
      </c>
    </row>
    <row r="69" spans="1:31" x14ac:dyDescent="0.35">
      <c r="A69" s="6" t="s">
        <v>178</v>
      </c>
      <c r="B69" s="6">
        <v>12</v>
      </c>
      <c r="C69" s="6" t="s">
        <v>4</v>
      </c>
      <c r="D69" s="6" t="s">
        <v>104</v>
      </c>
      <c r="E69" s="6"/>
      <c r="F69" s="6"/>
      <c r="G69" s="6"/>
      <c r="H69" s="6"/>
      <c r="I69" s="6"/>
      <c r="J69" s="6"/>
      <c r="K69" s="6"/>
      <c r="L69" s="6"/>
      <c r="M69" s="6"/>
      <c r="N69" s="6"/>
      <c r="O69" s="6"/>
      <c r="P69" s="6"/>
      <c r="Q69" s="6"/>
      <c r="R69" s="6"/>
      <c r="S69" s="6"/>
      <c r="T69" s="6"/>
      <c r="U69" s="6"/>
      <c r="V69" s="6"/>
      <c r="W69" s="6"/>
      <c r="X69" s="6"/>
      <c r="Y69" s="6"/>
      <c r="Z69" s="6"/>
      <c r="AA69" s="6"/>
      <c r="AB69" s="6"/>
      <c r="AC69" s="6"/>
      <c r="AD69" s="6" t="s">
        <v>122</v>
      </c>
      <c r="AE69" s="6" t="s">
        <v>123</v>
      </c>
    </row>
    <row r="70" spans="1:31" x14ac:dyDescent="0.35">
      <c r="A70" s="6" t="s">
        <v>179</v>
      </c>
      <c r="B70" s="6">
        <v>12</v>
      </c>
      <c r="C70" s="6" t="s">
        <v>6</v>
      </c>
      <c r="D70" s="6" t="s">
        <v>112</v>
      </c>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spans="1:31" x14ac:dyDescent="0.35">
      <c r="A71" s="6" t="s">
        <v>180</v>
      </c>
      <c r="B71" s="6">
        <v>12</v>
      </c>
      <c r="C71" s="6" t="s">
        <v>6</v>
      </c>
      <c r="D71" s="6" t="s">
        <v>181</v>
      </c>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spans="1:31" x14ac:dyDescent="0.35">
      <c r="A72" s="6" t="s">
        <v>182</v>
      </c>
      <c r="B72" s="6">
        <v>13</v>
      </c>
      <c r="C72" s="6" t="s">
        <v>68</v>
      </c>
      <c r="D72" s="6" t="s">
        <v>183</v>
      </c>
      <c r="E72" s="6" t="str">
        <f>A85</f>
        <v>Ref-030</v>
      </c>
      <c r="F72" s="6" t="str">
        <f>A80</f>
        <v>Fn-011</v>
      </c>
      <c r="G72" s="6"/>
      <c r="H72" s="6" t="str">
        <f>A73</f>
        <v>Cl-012</v>
      </c>
      <c r="I72" s="6" t="s">
        <v>61</v>
      </c>
      <c r="J72" s="6"/>
      <c r="K72" s="6"/>
      <c r="L72" s="6"/>
      <c r="M72" s="6"/>
      <c r="N72" s="6"/>
      <c r="O72" s="6"/>
      <c r="P72" s="6"/>
      <c r="Q72" s="6"/>
      <c r="R72" s="6"/>
      <c r="S72" s="6"/>
      <c r="T72" s="6" t="str">
        <f>A78</f>
        <v>Comp-013</v>
      </c>
      <c r="U72" s="6" t="s">
        <v>65</v>
      </c>
      <c r="V72" s="6"/>
      <c r="W72" s="6"/>
      <c r="X72" s="6"/>
      <c r="Y72" s="6"/>
      <c r="Z72" s="6"/>
      <c r="AA72" s="6"/>
      <c r="AB72" s="6"/>
      <c r="AC72" s="6"/>
      <c r="AD72" s="6" t="s">
        <v>184</v>
      </c>
      <c r="AE72" s="6" t="s">
        <v>185</v>
      </c>
    </row>
    <row r="73" spans="1:31" ht="29" x14ac:dyDescent="0.35">
      <c r="A73" s="6" t="s">
        <v>186</v>
      </c>
      <c r="B73" s="6">
        <v>13</v>
      </c>
      <c r="C73" s="6" t="s">
        <v>128</v>
      </c>
      <c r="D73" s="10" t="s">
        <v>187</v>
      </c>
      <c r="E73" s="6"/>
      <c r="F73" s="6"/>
      <c r="G73" s="6"/>
      <c r="H73" s="6"/>
      <c r="I73" s="6"/>
      <c r="J73" s="6"/>
      <c r="K73" s="6"/>
      <c r="L73" s="6"/>
      <c r="M73" s="6"/>
      <c r="N73" s="6" t="str">
        <f>A74</f>
        <v>RT-004</v>
      </c>
      <c r="O73" s="6" t="s">
        <v>61</v>
      </c>
      <c r="P73" s="6"/>
      <c r="Q73" s="6"/>
      <c r="R73" s="6"/>
      <c r="S73" s="6"/>
      <c r="T73" s="6"/>
      <c r="U73" s="6"/>
      <c r="V73" s="6"/>
      <c r="W73" s="6"/>
      <c r="X73" s="6"/>
      <c r="Y73" s="6"/>
      <c r="Z73" s="6"/>
      <c r="AA73" s="6"/>
      <c r="AB73" s="6"/>
      <c r="AC73" s="6"/>
      <c r="AD73" s="6" t="s">
        <v>184</v>
      </c>
      <c r="AE73" s="6" t="s">
        <v>185</v>
      </c>
    </row>
    <row r="74" spans="1:31" x14ac:dyDescent="0.35">
      <c r="A74" s="6" t="s">
        <v>188</v>
      </c>
      <c r="B74" s="6">
        <v>13</v>
      </c>
      <c r="C74" s="6" t="s">
        <v>32</v>
      </c>
      <c r="D74" s="10" t="s">
        <v>189</v>
      </c>
      <c r="E74" s="6" t="str">
        <f>A85</f>
        <v>Ref-030</v>
      </c>
      <c r="F74" s="6" t="str">
        <f>A84</f>
        <v>Fn-014</v>
      </c>
      <c r="G74" s="6"/>
      <c r="H74" s="6"/>
      <c r="I74" s="6"/>
      <c r="J74" s="6"/>
      <c r="K74" s="6"/>
      <c r="L74" s="6"/>
      <c r="M74" s="6"/>
      <c r="N74" s="6"/>
      <c r="O74" s="6"/>
      <c r="P74" s="6"/>
      <c r="Q74" s="6"/>
      <c r="R74" s="6"/>
      <c r="S74" s="6"/>
      <c r="T74" s="6"/>
      <c r="U74" s="6"/>
      <c r="V74" s="6"/>
      <c r="W74" s="6"/>
      <c r="X74" s="6"/>
      <c r="Y74" s="6"/>
      <c r="Z74" s="6"/>
      <c r="AA74" s="6"/>
      <c r="AB74" s="6"/>
      <c r="AC74" s="6"/>
      <c r="AD74" s="6" t="s">
        <v>184</v>
      </c>
      <c r="AE74" s="6" t="s">
        <v>185</v>
      </c>
    </row>
    <row r="75" spans="1:31" x14ac:dyDescent="0.35">
      <c r="A75" s="6" t="s">
        <v>190</v>
      </c>
      <c r="B75" s="6">
        <v>13</v>
      </c>
      <c r="C75" s="6" t="s">
        <v>32</v>
      </c>
      <c r="D75" s="10" t="s">
        <v>191</v>
      </c>
      <c r="E75" s="6"/>
      <c r="F75" s="6"/>
      <c r="G75" s="6"/>
      <c r="H75" s="6"/>
      <c r="I75" s="6"/>
      <c r="J75" s="6"/>
      <c r="K75" s="6"/>
      <c r="L75" s="6"/>
      <c r="M75" s="6"/>
      <c r="N75" s="6"/>
      <c r="O75" s="6"/>
      <c r="P75" s="6"/>
      <c r="Q75" s="6"/>
      <c r="R75" s="6"/>
      <c r="S75" s="6"/>
      <c r="T75" s="6"/>
      <c r="U75" s="6"/>
      <c r="V75" s="6"/>
      <c r="W75" s="6"/>
      <c r="X75" s="6"/>
      <c r="Y75" s="6"/>
      <c r="Z75" s="6"/>
      <c r="AA75" s="6"/>
      <c r="AB75" s="6"/>
      <c r="AC75" s="6"/>
      <c r="AD75" s="6" t="s">
        <v>184</v>
      </c>
      <c r="AE75" s="6" t="s">
        <v>185</v>
      </c>
    </row>
    <row r="76" spans="1:31" x14ac:dyDescent="0.35">
      <c r="A76" s="6" t="s">
        <v>192</v>
      </c>
      <c r="B76" s="6">
        <v>13</v>
      </c>
      <c r="C76" s="6" t="s">
        <v>79</v>
      </c>
      <c r="D76" s="10" t="s">
        <v>193</v>
      </c>
      <c r="E76" s="6"/>
      <c r="F76" s="6"/>
      <c r="G76" s="6"/>
      <c r="H76" s="6"/>
      <c r="I76" s="6"/>
      <c r="J76" s="6"/>
      <c r="K76" s="6"/>
      <c r="L76" s="6"/>
      <c r="M76" s="6"/>
      <c r="N76" s="6"/>
      <c r="O76" s="6"/>
      <c r="P76" s="6"/>
      <c r="Q76" s="6"/>
      <c r="R76" s="6"/>
      <c r="S76" s="6"/>
      <c r="T76" s="6"/>
      <c r="U76" s="6"/>
      <c r="V76" s="6"/>
      <c r="W76" s="6"/>
      <c r="X76" s="6"/>
      <c r="Y76" s="6"/>
      <c r="Z76" s="6"/>
      <c r="AA76" s="6"/>
      <c r="AB76" s="6"/>
      <c r="AC76" s="6"/>
      <c r="AD76" s="6" t="s">
        <v>184</v>
      </c>
      <c r="AE76" s="6" t="s">
        <v>185</v>
      </c>
    </row>
    <row r="77" spans="1:31" ht="43.5" x14ac:dyDescent="0.35">
      <c r="A77" s="6" t="s">
        <v>194</v>
      </c>
      <c r="B77" s="6">
        <v>13</v>
      </c>
      <c r="C77" s="6" t="s">
        <v>6</v>
      </c>
      <c r="D77" s="10" t="s">
        <v>195</v>
      </c>
      <c r="E77" s="6"/>
      <c r="F77" s="6"/>
      <c r="G77" s="6"/>
      <c r="H77" s="6"/>
      <c r="I77" s="6"/>
      <c r="J77" s="6"/>
      <c r="K77" s="6"/>
      <c r="L77" s="6"/>
      <c r="M77" s="6"/>
      <c r="N77" s="6"/>
      <c r="O77" s="6"/>
      <c r="P77" s="6"/>
      <c r="Q77" s="6"/>
      <c r="R77" s="6"/>
      <c r="S77" s="6"/>
      <c r="T77" s="6"/>
      <c r="U77" s="6"/>
      <c r="V77" s="6"/>
      <c r="W77" s="6"/>
      <c r="X77" s="6"/>
      <c r="Y77" s="6"/>
      <c r="Z77" s="6"/>
      <c r="AA77" s="6"/>
      <c r="AB77" s="6"/>
      <c r="AC77" s="6"/>
      <c r="AD77" s="6" t="s">
        <v>184</v>
      </c>
      <c r="AE77" s="6" t="s">
        <v>185</v>
      </c>
    </row>
    <row r="78" spans="1:31" x14ac:dyDescent="0.35">
      <c r="A78" s="6" t="s">
        <v>196</v>
      </c>
      <c r="B78" s="6">
        <v>13</v>
      </c>
      <c r="C78" s="6" t="s">
        <v>36</v>
      </c>
      <c r="D78" s="10" t="s">
        <v>197</v>
      </c>
      <c r="E78" s="6" t="str">
        <f>A85</f>
        <v>Ref-030</v>
      </c>
      <c r="F78" s="6" t="str">
        <f>A76</f>
        <v>Fn-010</v>
      </c>
      <c r="G78" s="6" t="str">
        <f>A77</f>
        <v>Gs-008</v>
      </c>
      <c r="H78" s="6"/>
      <c r="I78" s="6"/>
      <c r="J78" s="6"/>
      <c r="K78" s="6"/>
      <c r="L78" s="6"/>
      <c r="M78" s="6"/>
      <c r="N78" s="6"/>
      <c r="O78" s="6"/>
      <c r="P78" s="6"/>
      <c r="Q78" s="6"/>
      <c r="R78" s="6"/>
      <c r="S78" s="6"/>
      <c r="T78" s="6"/>
      <c r="U78" s="6"/>
      <c r="V78" s="6"/>
      <c r="W78" s="6"/>
      <c r="X78" s="6"/>
      <c r="Y78" s="6"/>
      <c r="Z78" s="6"/>
      <c r="AA78" s="6"/>
      <c r="AB78" s="6"/>
      <c r="AC78" s="6"/>
      <c r="AD78" s="6" t="s">
        <v>184</v>
      </c>
      <c r="AE78" s="6" t="s">
        <v>185</v>
      </c>
    </row>
    <row r="79" spans="1:31" x14ac:dyDescent="0.35">
      <c r="A79" s="6" t="s">
        <v>198</v>
      </c>
      <c r="B79" s="6">
        <v>13</v>
      </c>
      <c r="C79" s="6" t="s">
        <v>128</v>
      </c>
      <c r="D79" s="10" t="s">
        <v>199</v>
      </c>
      <c r="E79" s="6" t="str">
        <f>A85</f>
        <v>Ref-030</v>
      </c>
      <c r="F79" s="6" t="s">
        <v>87</v>
      </c>
      <c r="G79" s="6"/>
      <c r="H79" s="6"/>
      <c r="I79" s="6"/>
      <c r="J79" s="6"/>
      <c r="K79" s="6"/>
      <c r="L79" s="6"/>
      <c r="M79" s="6"/>
      <c r="N79" s="6"/>
      <c r="O79" s="6"/>
      <c r="P79" s="6"/>
      <c r="Q79" s="6"/>
      <c r="R79" s="6"/>
      <c r="S79" s="6"/>
      <c r="T79" s="6"/>
      <c r="U79" s="6"/>
      <c r="V79" s="6"/>
      <c r="W79" s="6"/>
      <c r="X79" s="6"/>
      <c r="Y79" s="6"/>
      <c r="Z79" s="6"/>
      <c r="AA79" s="6"/>
      <c r="AB79" s="6"/>
      <c r="AC79" s="6"/>
      <c r="AD79" s="6" t="s">
        <v>184</v>
      </c>
      <c r="AE79" s="6" t="s">
        <v>185</v>
      </c>
    </row>
    <row r="80" spans="1:31" ht="43.5" x14ac:dyDescent="0.35">
      <c r="A80" s="6" t="s">
        <v>200</v>
      </c>
      <c r="B80" s="6">
        <v>13</v>
      </c>
      <c r="C80" s="6" t="s">
        <v>79</v>
      </c>
      <c r="D80" s="10" t="s">
        <v>201</v>
      </c>
      <c r="E80" s="6"/>
      <c r="F80" s="6"/>
      <c r="G80" s="6"/>
      <c r="H80" s="6"/>
      <c r="I80" s="6"/>
      <c r="J80" s="6"/>
      <c r="K80" s="6"/>
      <c r="L80" s="6"/>
      <c r="M80" s="6"/>
      <c r="N80" s="6"/>
      <c r="O80" s="6"/>
      <c r="P80" s="6"/>
      <c r="Q80" s="6"/>
      <c r="R80" s="6"/>
      <c r="S80" s="6"/>
      <c r="T80" s="6"/>
      <c r="U80" s="6"/>
      <c r="V80" s="6"/>
      <c r="W80" s="6"/>
      <c r="X80" s="6"/>
      <c r="Y80" s="6"/>
      <c r="Z80" s="6"/>
      <c r="AA80" s="6"/>
      <c r="AB80" s="6"/>
      <c r="AC80" s="6"/>
      <c r="AD80" s="6" t="s">
        <v>184</v>
      </c>
      <c r="AE80" s="6" t="s">
        <v>185</v>
      </c>
    </row>
    <row r="81" spans="1:31" x14ac:dyDescent="0.35">
      <c r="A81" s="6" t="s">
        <v>202</v>
      </c>
      <c r="B81" s="6">
        <v>13</v>
      </c>
      <c r="C81" s="6" t="s">
        <v>79</v>
      </c>
      <c r="D81" s="10" t="s">
        <v>203</v>
      </c>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spans="1:31" x14ac:dyDescent="0.35">
      <c r="A82" s="6" t="s">
        <v>204</v>
      </c>
      <c r="B82" s="6">
        <v>13</v>
      </c>
      <c r="C82" s="6" t="s">
        <v>79</v>
      </c>
      <c r="D82" s="10" t="s">
        <v>205</v>
      </c>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spans="1:31" x14ac:dyDescent="0.35">
      <c r="A83" s="6" t="s">
        <v>206</v>
      </c>
      <c r="B83" s="6">
        <v>13</v>
      </c>
      <c r="C83" s="6" t="s">
        <v>128</v>
      </c>
      <c r="D83" s="10" t="s">
        <v>207</v>
      </c>
      <c r="E83" s="6" t="str">
        <f>A85</f>
        <v>Ref-030</v>
      </c>
      <c r="F83" s="6"/>
      <c r="G83" s="6"/>
      <c r="H83" s="6"/>
      <c r="I83" s="6"/>
      <c r="J83" s="6"/>
      <c r="K83" s="6"/>
      <c r="L83" s="6"/>
      <c r="M83" s="6"/>
      <c r="N83" s="6"/>
      <c r="O83" s="6"/>
      <c r="P83" s="6"/>
      <c r="Q83" s="6"/>
      <c r="R83" s="6"/>
      <c r="S83" s="6"/>
      <c r="T83" s="6"/>
      <c r="U83" s="6"/>
      <c r="V83" s="6"/>
      <c r="W83" s="6"/>
      <c r="X83" s="6"/>
      <c r="Y83" s="6"/>
      <c r="Z83" s="6"/>
      <c r="AA83" s="6"/>
      <c r="AB83" s="6"/>
      <c r="AC83" s="6"/>
      <c r="AD83" s="6" t="s">
        <v>184</v>
      </c>
      <c r="AE83" s="6" t="s">
        <v>185</v>
      </c>
    </row>
    <row r="84" spans="1:31" x14ac:dyDescent="0.35">
      <c r="A84" s="6" t="s">
        <v>208</v>
      </c>
      <c r="B84" s="6">
        <v>13</v>
      </c>
      <c r="C84" s="6" t="s">
        <v>79</v>
      </c>
      <c r="D84" s="10" t="s">
        <v>209</v>
      </c>
      <c r="E84" s="6"/>
      <c r="F84" s="6"/>
      <c r="G84" s="6"/>
      <c r="H84" s="6"/>
      <c r="I84" s="6"/>
      <c r="J84" s="6"/>
      <c r="K84" s="6"/>
      <c r="L84" s="6"/>
      <c r="M84" s="6"/>
      <c r="N84" s="6"/>
      <c r="O84" s="6"/>
      <c r="P84" s="6"/>
      <c r="Q84" s="6"/>
      <c r="R84" s="6"/>
      <c r="S84" s="6"/>
      <c r="T84" s="6"/>
      <c r="U84" s="6"/>
      <c r="V84" s="6"/>
      <c r="W84" s="6"/>
      <c r="X84" s="6"/>
      <c r="Y84" s="6"/>
      <c r="Z84" s="6"/>
      <c r="AA84" s="6"/>
      <c r="AB84" s="6"/>
      <c r="AC84" s="6"/>
      <c r="AD84" s="6" t="s">
        <v>184</v>
      </c>
      <c r="AE84" s="6" t="s">
        <v>185</v>
      </c>
    </row>
    <row r="85" spans="1:31" x14ac:dyDescent="0.35">
      <c r="A85" s="6" t="s">
        <v>210</v>
      </c>
      <c r="B85" s="6">
        <v>14</v>
      </c>
      <c r="C85" s="6" t="s">
        <v>4</v>
      </c>
      <c r="D85" s="10" t="s">
        <v>211</v>
      </c>
      <c r="E85" s="6"/>
      <c r="F85" s="6"/>
      <c r="G85" s="6"/>
      <c r="H85" s="6"/>
      <c r="I85" s="6"/>
      <c r="J85" s="6"/>
      <c r="K85" s="6"/>
      <c r="L85" s="6"/>
      <c r="M85" s="6"/>
      <c r="N85" s="6"/>
      <c r="O85" s="6"/>
      <c r="P85" s="6"/>
      <c r="Q85" s="6"/>
      <c r="R85" s="6"/>
      <c r="S85" s="6"/>
      <c r="T85" s="6"/>
      <c r="U85" s="6"/>
      <c r="V85" s="6"/>
      <c r="W85" s="6"/>
      <c r="X85" s="6"/>
      <c r="Y85" s="6"/>
      <c r="Z85" s="6"/>
      <c r="AA85" s="6"/>
      <c r="AB85" s="6"/>
      <c r="AC85" s="6"/>
      <c r="AD85" s="6" t="s">
        <v>184</v>
      </c>
      <c r="AE85" s="6" t="s">
        <v>185</v>
      </c>
    </row>
    <row r="86" spans="1:31" x14ac:dyDescent="0.35">
      <c r="A86" s="6" t="s">
        <v>212</v>
      </c>
      <c r="B86" s="6">
        <v>14</v>
      </c>
      <c r="C86" s="6" t="s">
        <v>4</v>
      </c>
      <c r="D86" s="10" t="s">
        <v>104</v>
      </c>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spans="1:31" ht="29" x14ac:dyDescent="0.35">
      <c r="A87" s="6" t="s">
        <v>213</v>
      </c>
      <c r="B87" s="6">
        <v>14</v>
      </c>
      <c r="C87" s="6" t="s">
        <v>6</v>
      </c>
      <c r="D87" s="10" t="s">
        <v>214</v>
      </c>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spans="1:31" ht="29" x14ac:dyDescent="0.35">
      <c r="A88" s="6" t="s">
        <v>215</v>
      </c>
      <c r="B88" s="6">
        <v>14</v>
      </c>
      <c r="C88" s="6" t="s">
        <v>6</v>
      </c>
      <c r="D88" s="10" t="s">
        <v>216</v>
      </c>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spans="1:31" x14ac:dyDescent="0.35">
      <c r="A89" s="6" t="s">
        <v>217</v>
      </c>
      <c r="B89" s="6">
        <v>15</v>
      </c>
      <c r="C89" s="6" t="s">
        <v>68</v>
      </c>
      <c r="D89" s="10" t="s">
        <v>218</v>
      </c>
      <c r="E89" s="6" t="s">
        <v>219</v>
      </c>
      <c r="F89" s="6" t="s">
        <v>220</v>
      </c>
      <c r="G89" s="6"/>
      <c r="H89" s="6"/>
      <c r="I89" s="6"/>
      <c r="J89" s="6"/>
      <c r="K89" s="6"/>
      <c r="L89" s="6"/>
      <c r="M89" s="6"/>
      <c r="N89" s="6"/>
      <c r="O89" s="6"/>
      <c r="P89" s="6"/>
      <c r="Q89" s="6"/>
      <c r="R89" s="6"/>
      <c r="S89" s="6"/>
      <c r="T89" s="6" t="str">
        <f>A93</f>
        <v>Comp-014</v>
      </c>
      <c r="U89" s="6" t="s">
        <v>65</v>
      </c>
      <c r="V89" s="6"/>
      <c r="W89" s="6"/>
      <c r="X89" s="6"/>
      <c r="Y89" s="6"/>
      <c r="Z89" s="6"/>
      <c r="AA89" s="6"/>
      <c r="AB89" s="6"/>
      <c r="AC89" s="6"/>
      <c r="AD89" s="6" t="s">
        <v>221</v>
      </c>
      <c r="AE89" s="6" t="s">
        <v>222</v>
      </c>
    </row>
    <row r="90" spans="1:31" x14ac:dyDescent="0.35">
      <c r="A90" s="6" t="s">
        <v>223</v>
      </c>
      <c r="B90" s="6">
        <v>15</v>
      </c>
      <c r="C90" s="6" t="s">
        <v>128</v>
      </c>
      <c r="D90" s="10" t="s">
        <v>224</v>
      </c>
      <c r="E90" s="6"/>
      <c r="F90" s="6"/>
      <c r="G90" s="6"/>
      <c r="H90" s="6"/>
      <c r="I90" s="6"/>
      <c r="J90" s="6"/>
      <c r="K90" s="6"/>
      <c r="L90" s="6"/>
      <c r="M90" s="6"/>
      <c r="N90" s="6"/>
      <c r="O90" s="6"/>
      <c r="P90" s="6"/>
      <c r="Q90" s="6"/>
      <c r="R90" s="6"/>
      <c r="S90" s="6"/>
      <c r="T90" s="6" t="str">
        <f>A93</f>
        <v>Comp-014</v>
      </c>
      <c r="U90" s="6" t="s">
        <v>65</v>
      </c>
      <c r="V90" s="6"/>
      <c r="W90" s="6"/>
      <c r="X90" s="6"/>
      <c r="Y90" s="6"/>
      <c r="Z90" s="6"/>
      <c r="AA90" s="6"/>
      <c r="AB90" s="6"/>
      <c r="AC90" s="6"/>
      <c r="AD90" s="6" t="s">
        <v>221</v>
      </c>
      <c r="AE90" s="6" t="s">
        <v>222</v>
      </c>
    </row>
    <row r="91" spans="1:31" ht="29" x14ac:dyDescent="0.35">
      <c r="A91" s="6" t="s">
        <v>225</v>
      </c>
      <c r="B91" s="6">
        <v>16</v>
      </c>
      <c r="C91" s="6" t="s">
        <v>4</v>
      </c>
      <c r="D91" s="10" t="s">
        <v>226</v>
      </c>
      <c r="E91" s="6"/>
      <c r="F91" s="6"/>
      <c r="G91" s="6"/>
      <c r="H91" s="6"/>
      <c r="I91" s="6"/>
      <c r="J91" s="6"/>
      <c r="K91" s="6"/>
      <c r="L91" s="6"/>
      <c r="M91" s="6"/>
      <c r="N91" s="6"/>
      <c r="O91" s="6"/>
      <c r="P91" s="6"/>
      <c r="Q91" s="6"/>
      <c r="R91" s="6"/>
      <c r="S91" s="6"/>
      <c r="T91" s="6"/>
      <c r="U91" s="6"/>
      <c r="V91" s="6"/>
      <c r="W91" s="6"/>
      <c r="X91" s="6"/>
      <c r="Y91" s="6"/>
      <c r="Z91" s="6"/>
      <c r="AA91" s="6"/>
      <c r="AB91" s="6"/>
      <c r="AC91" s="6"/>
      <c r="AD91" s="6" t="s">
        <v>221</v>
      </c>
      <c r="AE91" s="6" t="s">
        <v>222</v>
      </c>
    </row>
    <row r="92" spans="1:31" ht="29" x14ac:dyDescent="0.35">
      <c r="A92" s="6" t="s">
        <v>227</v>
      </c>
      <c r="B92" s="6">
        <v>16</v>
      </c>
      <c r="C92" s="6" t="s">
        <v>4</v>
      </c>
      <c r="D92" s="10" t="s">
        <v>228</v>
      </c>
      <c r="E92" s="6"/>
      <c r="F92" s="6"/>
      <c r="G92" s="6"/>
      <c r="H92" s="6"/>
      <c r="I92" s="6"/>
      <c r="J92" s="6"/>
      <c r="K92" s="6"/>
      <c r="L92" s="6"/>
      <c r="M92" s="6"/>
      <c r="N92" s="6"/>
      <c r="O92" s="6"/>
      <c r="P92" s="6"/>
      <c r="Q92" s="6"/>
      <c r="R92" s="6"/>
      <c r="S92" s="6"/>
      <c r="T92" s="6"/>
      <c r="U92" s="6"/>
      <c r="V92" s="6"/>
      <c r="W92" s="6"/>
      <c r="X92" s="6"/>
      <c r="Y92" s="6"/>
      <c r="Z92" s="6"/>
      <c r="AA92" s="6"/>
      <c r="AB92" s="6"/>
      <c r="AC92" s="6"/>
      <c r="AD92" s="6" t="s">
        <v>221</v>
      </c>
      <c r="AE92" s="6" t="s">
        <v>222</v>
      </c>
    </row>
    <row r="93" spans="1:31" x14ac:dyDescent="0.35">
      <c r="A93" s="6" t="s">
        <v>229</v>
      </c>
      <c r="B93" s="6">
        <v>15</v>
      </c>
      <c r="C93" s="6" t="s">
        <v>36</v>
      </c>
      <c r="D93" s="10" t="s">
        <v>230</v>
      </c>
      <c r="E93" s="6" t="s">
        <v>231</v>
      </c>
      <c r="F93" s="6" t="str">
        <f>A94</f>
        <v>Fn-015</v>
      </c>
      <c r="G93" s="6" t="str">
        <f>A95</f>
        <v>Gs-011</v>
      </c>
      <c r="H93" s="6"/>
      <c r="I93" s="6"/>
      <c r="J93" s="6"/>
      <c r="K93" s="6"/>
      <c r="L93" s="6"/>
      <c r="M93" s="6"/>
      <c r="N93" s="6"/>
      <c r="O93" s="6"/>
      <c r="P93" s="6"/>
      <c r="Q93" s="6"/>
      <c r="R93" s="6"/>
      <c r="S93" s="6"/>
      <c r="T93" s="6"/>
      <c r="U93" s="6"/>
      <c r="V93" s="6"/>
      <c r="W93" s="6"/>
      <c r="X93" s="6"/>
      <c r="Y93" s="6"/>
      <c r="Z93" s="6"/>
      <c r="AA93" s="6"/>
      <c r="AB93" s="6"/>
      <c r="AC93" s="6"/>
      <c r="AD93" s="6" t="s">
        <v>221</v>
      </c>
      <c r="AE93" s="6" t="s">
        <v>222</v>
      </c>
    </row>
    <row r="94" spans="1:31" ht="29" x14ac:dyDescent="0.35">
      <c r="A94" s="6" t="s">
        <v>232</v>
      </c>
      <c r="B94" s="6">
        <v>15</v>
      </c>
      <c r="C94" s="6" t="s">
        <v>79</v>
      </c>
      <c r="D94" s="10" t="s">
        <v>233</v>
      </c>
      <c r="E94" s="6"/>
      <c r="F94" s="6"/>
      <c r="G94" s="6"/>
      <c r="H94" s="6"/>
      <c r="I94" s="6"/>
      <c r="J94" s="6"/>
      <c r="K94" s="6"/>
      <c r="L94" s="6"/>
      <c r="M94" s="6"/>
      <c r="N94" s="6"/>
      <c r="O94" s="6"/>
      <c r="P94" s="6"/>
      <c r="Q94" s="6"/>
      <c r="R94" s="6"/>
      <c r="S94" s="6"/>
      <c r="T94" s="6"/>
      <c r="U94" s="6"/>
      <c r="V94" s="6"/>
      <c r="W94" s="6"/>
      <c r="X94" s="6"/>
      <c r="Y94" s="6"/>
      <c r="Z94" s="6"/>
      <c r="AA94" s="6"/>
      <c r="AB94" s="6"/>
      <c r="AC94" s="6"/>
      <c r="AD94" s="6" t="s">
        <v>221</v>
      </c>
      <c r="AE94" s="6" t="s">
        <v>222</v>
      </c>
    </row>
    <row r="95" spans="1:31" x14ac:dyDescent="0.35">
      <c r="A95" s="6" t="s">
        <v>234</v>
      </c>
      <c r="B95" s="6">
        <v>15</v>
      </c>
      <c r="C95" s="6" t="s">
        <v>6</v>
      </c>
      <c r="D95" s="10" t="s">
        <v>235</v>
      </c>
      <c r="E95" s="6"/>
      <c r="F95" s="6"/>
      <c r="G95" s="6"/>
      <c r="H95" s="6"/>
      <c r="I95" s="6"/>
      <c r="J95" s="6"/>
      <c r="K95" s="6"/>
      <c r="L95" s="6"/>
      <c r="M95" s="6"/>
      <c r="N95" s="6"/>
      <c r="O95" s="6"/>
      <c r="P95" s="6"/>
      <c r="Q95" s="6"/>
      <c r="R95" s="6"/>
      <c r="S95" s="6"/>
      <c r="T95" s="6"/>
      <c r="U95" s="6"/>
      <c r="V95" s="6"/>
      <c r="W95" s="6"/>
      <c r="X95" s="6"/>
      <c r="Y95" s="6"/>
      <c r="Z95" s="6"/>
      <c r="AA95" s="6"/>
      <c r="AB95" s="6"/>
      <c r="AC95" s="6"/>
      <c r="AD95" s="6" t="s">
        <v>221</v>
      </c>
      <c r="AE95" s="6" t="s">
        <v>222</v>
      </c>
    </row>
    <row r="96" spans="1:31" x14ac:dyDescent="0.35">
      <c r="A96" s="6" t="s">
        <v>236</v>
      </c>
      <c r="B96" s="6">
        <v>15</v>
      </c>
      <c r="C96" s="6" t="s">
        <v>128</v>
      </c>
      <c r="D96" s="10" t="s">
        <v>237</v>
      </c>
      <c r="E96" s="6" t="str">
        <f>A99</f>
        <v>Ref-034</v>
      </c>
      <c r="F96" s="6" t="str">
        <f>A97</f>
        <v>Fn-016</v>
      </c>
      <c r="G96" s="6"/>
      <c r="H96" s="6"/>
      <c r="I96" s="6"/>
      <c r="J96" s="6"/>
      <c r="K96" s="6"/>
      <c r="L96" s="6"/>
      <c r="M96" s="6"/>
      <c r="N96" s="6"/>
      <c r="O96" s="6"/>
      <c r="P96" s="6"/>
      <c r="Q96" s="6"/>
      <c r="R96" s="6"/>
      <c r="S96" s="6"/>
      <c r="T96" s="6" t="str">
        <f>A93</f>
        <v>Comp-014</v>
      </c>
      <c r="U96" s="6" t="s">
        <v>65</v>
      </c>
      <c r="V96" s="6"/>
      <c r="W96" s="6"/>
      <c r="X96" s="6"/>
      <c r="Y96" s="6"/>
      <c r="Z96" s="6"/>
      <c r="AA96" s="6"/>
      <c r="AB96" s="6"/>
      <c r="AC96" s="6"/>
      <c r="AD96" s="6" t="s">
        <v>221</v>
      </c>
      <c r="AE96" s="6" t="s">
        <v>222</v>
      </c>
    </row>
    <row r="97" spans="1:31" ht="43.5" x14ac:dyDescent="0.35">
      <c r="A97" s="6" t="s">
        <v>238</v>
      </c>
      <c r="B97" s="6">
        <v>15</v>
      </c>
      <c r="C97" s="6" t="s">
        <v>79</v>
      </c>
      <c r="D97" s="10" t="s">
        <v>239</v>
      </c>
      <c r="E97" s="6"/>
      <c r="F97" s="6"/>
      <c r="G97" s="6"/>
      <c r="H97" s="6"/>
      <c r="I97" s="6"/>
      <c r="J97" s="6"/>
      <c r="K97" s="6"/>
      <c r="L97" s="6"/>
      <c r="M97" s="6"/>
      <c r="N97" s="6"/>
      <c r="O97" s="6"/>
      <c r="P97" s="6"/>
      <c r="Q97" s="6"/>
      <c r="R97" s="6"/>
      <c r="S97" s="6"/>
      <c r="T97" s="6"/>
      <c r="U97" s="6"/>
      <c r="V97" s="6"/>
      <c r="W97" s="6"/>
      <c r="X97" s="6"/>
      <c r="Y97" s="6"/>
      <c r="Z97" s="6"/>
      <c r="AA97" s="6"/>
      <c r="AB97" s="6"/>
      <c r="AC97" s="6"/>
      <c r="AD97" s="6" t="s">
        <v>221</v>
      </c>
      <c r="AE97" s="6" t="s">
        <v>222</v>
      </c>
    </row>
    <row r="98" spans="1:31" ht="29" x14ac:dyDescent="0.35">
      <c r="A98" s="6" t="s">
        <v>240</v>
      </c>
      <c r="B98" s="6">
        <v>15</v>
      </c>
      <c r="C98" s="6" t="s">
        <v>79</v>
      </c>
      <c r="D98" s="10" t="s">
        <v>241</v>
      </c>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spans="1:31" x14ac:dyDescent="0.35">
      <c r="A99" s="6" t="s">
        <v>242</v>
      </c>
      <c r="B99" s="6">
        <v>16</v>
      </c>
      <c r="C99" s="6" t="s">
        <v>4</v>
      </c>
      <c r="D99" s="6" t="s">
        <v>104</v>
      </c>
      <c r="E99" s="6"/>
      <c r="F99" s="6"/>
      <c r="G99" s="6"/>
      <c r="H99" s="6"/>
      <c r="I99" s="6"/>
      <c r="J99" s="6"/>
      <c r="K99" s="6"/>
      <c r="L99" s="6"/>
      <c r="M99" s="6"/>
      <c r="N99" s="6"/>
      <c r="O99" s="6"/>
      <c r="P99" s="6"/>
      <c r="Q99" s="6"/>
      <c r="R99" s="6"/>
      <c r="S99" s="6"/>
      <c r="T99" s="6"/>
      <c r="U99" s="6"/>
      <c r="V99" s="6"/>
      <c r="W99" s="6"/>
      <c r="X99" s="6"/>
      <c r="Y99" s="6"/>
      <c r="Z99" s="6"/>
      <c r="AA99" s="6"/>
      <c r="AB99" s="6"/>
      <c r="AC99" s="6"/>
      <c r="AD99" s="6" t="s">
        <v>221</v>
      </c>
      <c r="AE99" s="6" t="s">
        <v>222</v>
      </c>
    </row>
    <row r="100" spans="1:31" x14ac:dyDescent="0.35">
      <c r="A100" t="s">
        <v>243</v>
      </c>
      <c r="B100">
        <v>17</v>
      </c>
      <c r="C100" t="s">
        <v>68</v>
      </c>
      <c r="D100" s="2" t="s">
        <v>244</v>
      </c>
    </row>
    <row r="101" spans="1:31" x14ac:dyDescent="0.35">
      <c r="B101">
        <v>17</v>
      </c>
      <c r="C101" t="s">
        <v>128</v>
      </c>
      <c r="D101" s="16" t="s">
        <v>245</v>
      </c>
    </row>
    <row r="102" spans="1:31" x14ac:dyDescent="0.35">
      <c r="B102">
        <v>17</v>
      </c>
      <c r="C102" t="s">
        <v>32</v>
      </c>
      <c r="D102" s="16" t="s">
        <v>246</v>
      </c>
    </row>
    <row r="103" spans="1:31" ht="29" x14ac:dyDescent="0.35">
      <c r="A103" t="s">
        <v>247</v>
      </c>
      <c r="B103">
        <v>17</v>
      </c>
      <c r="C103" t="s">
        <v>32</v>
      </c>
      <c r="D103" s="2" t="s">
        <v>248</v>
      </c>
      <c r="E103" t="s">
        <v>142</v>
      </c>
      <c r="F103" t="s">
        <v>192</v>
      </c>
      <c r="H103" t="s">
        <v>249</v>
      </c>
      <c r="T103" t="s">
        <v>249</v>
      </c>
    </row>
    <row r="104" spans="1:31" x14ac:dyDescent="0.35">
      <c r="A104" t="s">
        <v>249</v>
      </c>
      <c r="B104">
        <v>17</v>
      </c>
      <c r="C104" s="12" t="s">
        <v>36</v>
      </c>
      <c r="D104" s="13" t="s">
        <v>244</v>
      </c>
    </row>
    <row r="105" spans="1:31" x14ac:dyDescent="0.35">
      <c r="A105" t="s">
        <v>250</v>
      </c>
      <c r="B105">
        <v>17</v>
      </c>
      <c r="C105" s="12" t="s">
        <v>36</v>
      </c>
      <c r="D105" s="13" t="s">
        <v>244</v>
      </c>
      <c r="E105" t="s">
        <v>142</v>
      </c>
      <c r="F105" t="s">
        <v>135</v>
      </c>
    </row>
    <row r="106" spans="1:31" x14ac:dyDescent="0.35">
      <c r="A106" t="s">
        <v>135</v>
      </c>
      <c r="B106">
        <v>17</v>
      </c>
      <c r="C106" t="s">
        <v>79</v>
      </c>
      <c r="D106" s="2" t="s">
        <v>251</v>
      </c>
    </row>
    <row r="107" spans="1:31" x14ac:dyDescent="0.35">
      <c r="B107">
        <v>17</v>
      </c>
      <c r="C107" s="14" t="s">
        <v>79</v>
      </c>
      <c r="D107" s="15" t="s">
        <v>252</v>
      </c>
    </row>
    <row r="108" spans="1:31" ht="29" x14ac:dyDescent="0.35">
      <c r="A108" t="s">
        <v>141</v>
      </c>
      <c r="B108">
        <v>17</v>
      </c>
      <c r="C108" s="14" t="s">
        <v>79</v>
      </c>
      <c r="D108" s="15" t="s">
        <v>253</v>
      </c>
    </row>
    <row r="109" spans="1:31" x14ac:dyDescent="0.35">
      <c r="A109" t="s">
        <v>192</v>
      </c>
      <c r="B109">
        <v>17</v>
      </c>
      <c r="C109" s="14" t="s">
        <v>79</v>
      </c>
      <c r="D109" s="15" t="s">
        <v>254</v>
      </c>
    </row>
    <row r="110" spans="1:31" x14ac:dyDescent="0.35">
      <c r="B110">
        <v>17</v>
      </c>
      <c r="C110" t="s">
        <v>79</v>
      </c>
      <c r="D110" s="2" t="s">
        <v>255</v>
      </c>
    </row>
    <row r="111" spans="1:31" ht="29" x14ac:dyDescent="0.35">
      <c r="A111" t="s">
        <v>142</v>
      </c>
      <c r="B111">
        <v>18</v>
      </c>
      <c r="C111" t="s">
        <v>4</v>
      </c>
      <c r="D111" s="2" t="s">
        <v>256</v>
      </c>
    </row>
    <row r="112" spans="1:31" x14ac:dyDescent="0.35">
      <c r="B112">
        <v>18</v>
      </c>
      <c r="C112" t="s">
        <v>4</v>
      </c>
      <c r="D112" t="s">
        <v>257</v>
      </c>
    </row>
    <row r="113" spans="1:20" ht="58" x14ac:dyDescent="0.35">
      <c r="B113">
        <v>18</v>
      </c>
      <c r="C113" t="s">
        <v>4</v>
      </c>
      <c r="D113" s="2" t="s">
        <v>258</v>
      </c>
    </row>
    <row r="114" spans="1:20" ht="43.5" x14ac:dyDescent="0.35">
      <c r="B114">
        <v>18</v>
      </c>
      <c r="C114" t="s">
        <v>6</v>
      </c>
      <c r="D114" s="2" t="s">
        <v>259</v>
      </c>
    </row>
    <row r="115" spans="1:20" x14ac:dyDescent="0.35">
      <c r="A115" t="s">
        <v>223</v>
      </c>
      <c r="B115">
        <v>19</v>
      </c>
      <c r="C115" t="s">
        <v>68</v>
      </c>
      <c r="D115" s="2" t="s">
        <v>260</v>
      </c>
    </row>
    <row r="116" spans="1:20" x14ac:dyDescent="0.35">
      <c r="A116" t="s">
        <v>261</v>
      </c>
      <c r="B116">
        <v>19</v>
      </c>
      <c r="C116" t="s">
        <v>32</v>
      </c>
      <c r="D116" s="2" t="s">
        <v>262</v>
      </c>
      <c r="E116" t="s">
        <v>144</v>
      </c>
      <c r="F116" t="s">
        <v>200</v>
      </c>
      <c r="T116" t="s">
        <v>263</v>
      </c>
    </row>
    <row r="117" spans="1:20" x14ac:dyDescent="0.35">
      <c r="A117" t="s">
        <v>264</v>
      </c>
      <c r="B117">
        <v>19</v>
      </c>
      <c r="C117" t="s">
        <v>32</v>
      </c>
      <c r="D117" s="2" t="s">
        <v>265</v>
      </c>
      <c r="E117" t="s">
        <v>148</v>
      </c>
      <c r="F117" t="s">
        <v>202</v>
      </c>
      <c r="T117" t="s">
        <v>266</v>
      </c>
    </row>
    <row r="118" spans="1:20" x14ac:dyDescent="0.35">
      <c r="A118" t="s">
        <v>267</v>
      </c>
      <c r="B118">
        <v>19</v>
      </c>
      <c r="C118" t="s">
        <v>32</v>
      </c>
      <c r="D118" s="2" t="s">
        <v>268</v>
      </c>
      <c r="E118" t="s">
        <v>150</v>
      </c>
      <c r="F118" t="s">
        <v>204</v>
      </c>
    </row>
    <row r="119" spans="1:20" x14ac:dyDescent="0.35">
      <c r="A119" t="s">
        <v>269</v>
      </c>
      <c r="B119">
        <v>19</v>
      </c>
      <c r="C119" t="s">
        <v>32</v>
      </c>
      <c r="D119" s="2" t="s">
        <v>270</v>
      </c>
      <c r="E119" t="s">
        <v>152</v>
      </c>
      <c r="F119" t="s">
        <v>208</v>
      </c>
    </row>
    <row r="120" spans="1:20" x14ac:dyDescent="0.35">
      <c r="A120" t="s">
        <v>271</v>
      </c>
      <c r="B120">
        <v>19</v>
      </c>
      <c r="C120" t="s">
        <v>32</v>
      </c>
      <c r="D120" s="2" t="s">
        <v>272</v>
      </c>
      <c r="E120" t="s">
        <v>154</v>
      </c>
      <c r="F120" t="s">
        <v>232</v>
      </c>
    </row>
    <row r="121" spans="1:20" ht="72.5" x14ac:dyDescent="0.35">
      <c r="A121" t="s">
        <v>137</v>
      </c>
      <c r="B121">
        <v>19</v>
      </c>
      <c r="C121" t="s">
        <v>79</v>
      </c>
      <c r="D121" s="2" t="s">
        <v>273</v>
      </c>
    </row>
    <row r="122" spans="1:20" ht="29" x14ac:dyDescent="0.35">
      <c r="A122" t="s">
        <v>200</v>
      </c>
      <c r="B122">
        <v>19</v>
      </c>
      <c r="C122" t="s">
        <v>79</v>
      </c>
      <c r="D122" s="2" t="s">
        <v>274</v>
      </c>
    </row>
    <row r="123" spans="1:20" ht="87" x14ac:dyDescent="0.35">
      <c r="A123" t="s">
        <v>202</v>
      </c>
      <c r="B123">
        <v>19</v>
      </c>
      <c r="C123" t="s">
        <v>79</v>
      </c>
      <c r="D123" s="2" t="s">
        <v>275</v>
      </c>
    </row>
    <row r="124" spans="1:20" ht="29" x14ac:dyDescent="0.35">
      <c r="A124" t="s">
        <v>204</v>
      </c>
      <c r="B124">
        <v>19</v>
      </c>
      <c r="C124" t="s">
        <v>79</v>
      </c>
      <c r="D124" s="2" t="s">
        <v>276</v>
      </c>
    </row>
    <row r="125" spans="1:20" ht="43.5" x14ac:dyDescent="0.35">
      <c r="A125" t="s">
        <v>208</v>
      </c>
      <c r="B125">
        <v>19</v>
      </c>
      <c r="C125" t="s">
        <v>79</v>
      </c>
      <c r="D125" s="2" t="s">
        <v>277</v>
      </c>
    </row>
    <row r="126" spans="1:20" ht="29" x14ac:dyDescent="0.35">
      <c r="A126" t="s">
        <v>232</v>
      </c>
      <c r="B126">
        <v>19</v>
      </c>
      <c r="C126" t="s">
        <v>79</v>
      </c>
      <c r="D126" s="2" t="s">
        <v>278</v>
      </c>
    </row>
    <row r="127" spans="1:20" x14ac:dyDescent="0.35">
      <c r="A127" t="s">
        <v>263</v>
      </c>
      <c r="B127">
        <v>19</v>
      </c>
      <c r="C127" t="s">
        <v>36</v>
      </c>
      <c r="D127" s="2" t="s">
        <v>279</v>
      </c>
    </row>
    <row r="128" spans="1:20" x14ac:dyDescent="0.35">
      <c r="A128" t="s">
        <v>266</v>
      </c>
      <c r="B128">
        <v>19</v>
      </c>
      <c r="C128" t="s">
        <v>36</v>
      </c>
      <c r="D128" s="2" t="s">
        <v>280</v>
      </c>
    </row>
    <row r="129" spans="1:20" x14ac:dyDescent="0.35">
      <c r="B129">
        <v>19</v>
      </c>
      <c r="C129" t="s">
        <v>36</v>
      </c>
      <c r="D129" s="2" t="s">
        <v>281</v>
      </c>
    </row>
    <row r="130" spans="1:20" x14ac:dyDescent="0.35">
      <c r="B130">
        <v>19</v>
      </c>
      <c r="C130" t="s">
        <v>36</v>
      </c>
      <c r="D130" s="2" t="s">
        <v>282</v>
      </c>
    </row>
    <row r="131" spans="1:20" x14ac:dyDescent="0.35">
      <c r="B131">
        <v>19</v>
      </c>
      <c r="C131" t="s">
        <v>36</v>
      </c>
      <c r="D131" s="2" t="s">
        <v>283</v>
      </c>
    </row>
    <row r="132" spans="1:20" ht="130.5" x14ac:dyDescent="0.35">
      <c r="A132" t="s">
        <v>144</v>
      </c>
      <c r="B132">
        <v>20</v>
      </c>
      <c r="C132" t="s">
        <v>4</v>
      </c>
      <c r="D132" s="2" t="s">
        <v>284</v>
      </c>
    </row>
    <row r="133" spans="1:20" x14ac:dyDescent="0.35">
      <c r="A133" t="s">
        <v>148</v>
      </c>
      <c r="B133">
        <v>20</v>
      </c>
      <c r="C133" t="s">
        <v>4</v>
      </c>
      <c r="D133" t="s">
        <v>285</v>
      </c>
    </row>
    <row r="134" spans="1:20" x14ac:dyDescent="0.35">
      <c r="A134" t="s">
        <v>150</v>
      </c>
      <c r="B134">
        <v>20</v>
      </c>
      <c r="C134" t="s">
        <v>4</v>
      </c>
      <c r="D134" t="s">
        <v>286</v>
      </c>
    </row>
    <row r="135" spans="1:20" x14ac:dyDescent="0.35">
      <c r="A135" t="s">
        <v>152</v>
      </c>
      <c r="B135">
        <v>20</v>
      </c>
      <c r="C135" t="s">
        <v>4</v>
      </c>
      <c r="D135" t="s">
        <v>287</v>
      </c>
    </row>
    <row r="136" spans="1:20" x14ac:dyDescent="0.35">
      <c r="A136" t="s">
        <v>154</v>
      </c>
      <c r="B136">
        <v>20</v>
      </c>
      <c r="C136" t="s">
        <v>4</v>
      </c>
      <c r="D136" t="s">
        <v>288</v>
      </c>
    </row>
    <row r="137" spans="1:20" x14ac:dyDescent="0.35">
      <c r="B137">
        <v>20</v>
      </c>
      <c r="C137" t="s">
        <v>4</v>
      </c>
      <c r="D137" t="s">
        <v>289</v>
      </c>
    </row>
    <row r="138" spans="1:20" ht="29" x14ac:dyDescent="0.35">
      <c r="B138">
        <v>20</v>
      </c>
      <c r="C138" t="s">
        <v>6</v>
      </c>
      <c r="D138" s="2" t="s">
        <v>290</v>
      </c>
    </row>
    <row r="139" spans="1:20" x14ac:dyDescent="0.35">
      <c r="A139" t="s">
        <v>236</v>
      </c>
      <c r="B139">
        <v>21</v>
      </c>
      <c r="C139" t="s">
        <v>68</v>
      </c>
      <c r="D139" s="2" t="s">
        <v>291</v>
      </c>
      <c r="H139" t="s">
        <v>243</v>
      </c>
    </row>
    <row r="140" spans="1:20" ht="29" x14ac:dyDescent="0.35">
      <c r="A140" t="s">
        <v>243</v>
      </c>
      <c r="B140">
        <v>21</v>
      </c>
      <c r="C140" t="s">
        <v>128</v>
      </c>
      <c r="D140" s="2" t="s">
        <v>292</v>
      </c>
      <c r="N140" t="s">
        <v>293</v>
      </c>
    </row>
    <row r="141" spans="1:20" x14ac:dyDescent="0.35">
      <c r="A141" t="s">
        <v>294</v>
      </c>
      <c r="B141">
        <v>21</v>
      </c>
      <c r="C141" t="s">
        <v>128</v>
      </c>
      <c r="D141" s="2" t="s">
        <v>295</v>
      </c>
      <c r="T141" t="s">
        <v>296</v>
      </c>
    </row>
    <row r="142" spans="1:20" x14ac:dyDescent="0.35">
      <c r="B142">
        <v>21</v>
      </c>
      <c r="C142" t="s">
        <v>32</v>
      </c>
      <c r="D142" s="2" t="s">
        <v>297</v>
      </c>
    </row>
    <row r="143" spans="1:20" x14ac:dyDescent="0.35">
      <c r="B143">
        <v>21</v>
      </c>
      <c r="C143" t="s">
        <v>32</v>
      </c>
      <c r="D143" s="2" t="s">
        <v>298</v>
      </c>
    </row>
    <row r="144" spans="1:20" x14ac:dyDescent="0.35">
      <c r="B144">
        <v>21</v>
      </c>
      <c r="C144" t="s">
        <v>32</v>
      </c>
      <c r="D144" s="2" t="s">
        <v>299</v>
      </c>
    </row>
    <row r="145" spans="1:20" x14ac:dyDescent="0.35">
      <c r="B145">
        <v>21</v>
      </c>
      <c r="C145" t="s">
        <v>32</v>
      </c>
      <c r="D145" s="2" t="s">
        <v>300</v>
      </c>
    </row>
    <row r="146" spans="1:20" x14ac:dyDescent="0.35">
      <c r="B146">
        <v>21</v>
      </c>
      <c r="C146" t="s">
        <v>36</v>
      </c>
      <c r="D146" s="2" t="s">
        <v>301</v>
      </c>
    </row>
    <row r="147" spans="1:20" x14ac:dyDescent="0.35">
      <c r="B147">
        <v>21</v>
      </c>
      <c r="C147" t="s">
        <v>36</v>
      </c>
      <c r="D147" s="2" t="s">
        <v>302</v>
      </c>
    </row>
    <row r="148" spans="1:20" x14ac:dyDescent="0.35">
      <c r="B148">
        <v>21</v>
      </c>
      <c r="C148" t="s">
        <v>36</v>
      </c>
      <c r="D148" s="2" t="s">
        <v>303</v>
      </c>
    </row>
    <row r="149" spans="1:20" x14ac:dyDescent="0.35">
      <c r="B149">
        <v>21</v>
      </c>
      <c r="C149" t="s">
        <v>36</v>
      </c>
      <c r="D149" s="2" t="s">
        <v>304</v>
      </c>
    </row>
    <row r="150" spans="1:20" ht="29" x14ac:dyDescent="0.35">
      <c r="A150" t="s">
        <v>293</v>
      </c>
      <c r="B150">
        <v>21</v>
      </c>
      <c r="C150" t="s">
        <v>32</v>
      </c>
      <c r="D150" s="2" t="s">
        <v>305</v>
      </c>
      <c r="E150" t="s">
        <v>156</v>
      </c>
      <c r="T150" t="s">
        <v>296</v>
      </c>
    </row>
    <row r="151" spans="1:20" x14ac:dyDescent="0.35">
      <c r="B151">
        <v>21</v>
      </c>
      <c r="C151" t="s">
        <v>79</v>
      </c>
      <c r="D151" s="2" t="s">
        <v>306</v>
      </c>
    </row>
    <row r="152" spans="1:20" ht="29" x14ac:dyDescent="0.35">
      <c r="B152">
        <v>21</v>
      </c>
      <c r="C152" t="s">
        <v>79</v>
      </c>
      <c r="D152" s="2" t="s">
        <v>307</v>
      </c>
    </row>
    <row r="153" spans="1:20" ht="58" x14ac:dyDescent="0.35">
      <c r="B153">
        <v>22</v>
      </c>
      <c r="C153" t="s">
        <v>6</v>
      </c>
      <c r="D153" s="2" t="s">
        <v>308</v>
      </c>
    </row>
    <row r="154" spans="1:20" x14ac:dyDescent="0.35">
      <c r="B154">
        <v>22</v>
      </c>
      <c r="C154" t="s">
        <v>4</v>
      </c>
      <c r="D154" t="s">
        <v>309</v>
      </c>
    </row>
    <row r="155" spans="1:20" x14ac:dyDescent="0.35">
      <c r="B155">
        <v>22</v>
      </c>
      <c r="C155" t="s">
        <v>4</v>
      </c>
      <c r="D155" t="s">
        <v>310</v>
      </c>
    </row>
    <row r="156" spans="1:20" x14ac:dyDescent="0.35">
      <c r="B156" s="2">
        <v>23</v>
      </c>
      <c r="C156" t="s">
        <v>68</v>
      </c>
      <c r="D156" t="s">
        <v>311</v>
      </c>
    </row>
    <row r="157" spans="1:20" x14ac:dyDescent="0.35">
      <c r="B157">
        <v>23</v>
      </c>
      <c r="C157" t="s">
        <v>36</v>
      </c>
      <c r="D157" s="2" t="s">
        <v>312</v>
      </c>
    </row>
    <row r="158" spans="1:20" x14ac:dyDescent="0.35">
      <c r="B158">
        <v>23</v>
      </c>
      <c r="C158" t="s">
        <v>79</v>
      </c>
      <c r="D158" s="2" t="s">
        <v>255</v>
      </c>
    </row>
    <row r="159" spans="1:20" x14ac:dyDescent="0.35">
      <c r="B159">
        <v>24</v>
      </c>
      <c r="C159" t="s">
        <v>4</v>
      </c>
      <c r="D159" t="s">
        <v>313</v>
      </c>
    </row>
    <row r="160" spans="1:20" x14ac:dyDescent="0.35">
      <c r="B160">
        <v>24</v>
      </c>
      <c r="C160" t="s">
        <v>6</v>
      </c>
      <c r="D160" s="2" t="s">
        <v>314</v>
      </c>
    </row>
    <row r="161" spans="2:4" x14ac:dyDescent="0.35">
      <c r="B161">
        <v>25</v>
      </c>
      <c r="C161" t="s">
        <v>68</v>
      </c>
      <c r="D161" t="s">
        <v>315</v>
      </c>
    </row>
    <row r="162" spans="2:4" x14ac:dyDescent="0.35">
      <c r="B162">
        <v>25</v>
      </c>
      <c r="C162" t="s">
        <v>128</v>
      </c>
      <c r="D162" t="s">
        <v>316</v>
      </c>
    </row>
    <row r="163" spans="2:4" x14ac:dyDescent="0.35">
      <c r="B163">
        <v>25</v>
      </c>
      <c r="C163" t="s">
        <v>32</v>
      </c>
      <c r="D163" t="s">
        <v>317</v>
      </c>
    </row>
    <row r="164" spans="2:4" x14ac:dyDescent="0.35">
      <c r="B164">
        <v>25</v>
      </c>
      <c r="C164" t="s">
        <v>128</v>
      </c>
      <c r="D164" t="s">
        <v>318</v>
      </c>
    </row>
    <row r="165" spans="2:4" ht="29" x14ac:dyDescent="0.35">
      <c r="B165">
        <v>25</v>
      </c>
      <c r="C165" t="s">
        <v>32</v>
      </c>
      <c r="D165" s="2" t="s">
        <v>319</v>
      </c>
    </row>
    <row r="166" spans="2:4" x14ac:dyDescent="0.35">
      <c r="B166">
        <v>25</v>
      </c>
      <c r="C166" t="s">
        <v>79</v>
      </c>
      <c r="D166" t="s">
        <v>320</v>
      </c>
    </row>
    <row r="167" spans="2:4" x14ac:dyDescent="0.35">
      <c r="B167">
        <v>26</v>
      </c>
      <c r="C167" t="s">
        <v>4</v>
      </c>
      <c r="D167" t="s">
        <v>321</v>
      </c>
    </row>
    <row r="168" spans="2:4" x14ac:dyDescent="0.35">
      <c r="B168">
        <v>26</v>
      </c>
      <c r="C168" t="s">
        <v>6</v>
      </c>
      <c r="D168" t="s">
        <v>322</v>
      </c>
    </row>
    <row r="169" spans="2:4" x14ac:dyDescent="0.35">
      <c r="B169">
        <v>26</v>
      </c>
      <c r="C169" t="s">
        <v>4</v>
      </c>
      <c r="D169" t="s">
        <v>323</v>
      </c>
    </row>
    <row r="170" spans="2:4" x14ac:dyDescent="0.35">
      <c r="B170">
        <v>25</v>
      </c>
      <c r="C170" t="s">
        <v>79</v>
      </c>
      <c r="D170" t="s">
        <v>324</v>
      </c>
    </row>
    <row r="171" spans="2:4" x14ac:dyDescent="0.35">
      <c r="B171">
        <v>26</v>
      </c>
      <c r="C171" t="s">
        <v>6</v>
      </c>
      <c r="D171" t="s">
        <v>325</v>
      </c>
    </row>
    <row r="172" spans="2:4" x14ac:dyDescent="0.35">
      <c r="B172">
        <v>26</v>
      </c>
      <c r="C172" t="s">
        <v>6</v>
      </c>
      <c r="D172" t="s">
        <v>326</v>
      </c>
    </row>
    <row r="173" spans="2:4" x14ac:dyDescent="0.35">
      <c r="B173">
        <v>26</v>
      </c>
      <c r="C173" t="s">
        <v>327</v>
      </c>
      <c r="D173" t="s">
        <v>328</v>
      </c>
    </row>
    <row r="174" spans="2:4" x14ac:dyDescent="0.35">
      <c r="B174">
        <v>25</v>
      </c>
      <c r="C174" t="s">
        <v>329</v>
      </c>
      <c r="D174" t="s">
        <v>330</v>
      </c>
    </row>
    <row r="175" spans="2:4" x14ac:dyDescent="0.35">
      <c r="B175">
        <v>26</v>
      </c>
      <c r="C175" t="s">
        <v>331</v>
      </c>
      <c r="D175" t="s">
        <v>332</v>
      </c>
    </row>
    <row r="176" spans="2:4" x14ac:dyDescent="0.35">
      <c r="B176">
        <v>27</v>
      </c>
      <c r="C176" t="s">
        <v>333</v>
      </c>
      <c r="D176" s="19" t="s">
        <v>334</v>
      </c>
    </row>
    <row r="177" spans="2:4" x14ac:dyDescent="0.35">
      <c r="B177">
        <v>28</v>
      </c>
      <c r="D177" t="s">
        <v>335</v>
      </c>
    </row>
    <row r="178" spans="2:4" x14ac:dyDescent="0.35">
      <c r="B178">
        <v>27</v>
      </c>
      <c r="D178" s="19" t="s">
        <v>336</v>
      </c>
    </row>
    <row r="179" spans="2:4" x14ac:dyDescent="0.35">
      <c r="D179" t="s">
        <v>335</v>
      </c>
    </row>
    <row r="180" spans="2:4" x14ac:dyDescent="0.35">
      <c r="D180" t="s">
        <v>337</v>
      </c>
    </row>
    <row r="181" spans="2:4" x14ac:dyDescent="0.35">
      <c r="D181" t="s">
        <v>338</v>
      </c>
    </row>
    <row r="182" spans="2:4" x14ac:dyDescent="0.35">
      <c r="D182" s="13" t="s">
        <v>339</v>
      </c>
    </row>
    <row r="183" spans="2:4" x14ac:dyDescent="0.35">
      <c r="D183" s="21" t="s">
        <v>340</v>
      </c>
    </row>
    <row r="184" spans="2:4" x14ac:dyDescent="0.35">
      <c r="D184" s="2" t="s">
        <v>341</v>
      </c>
    </row>
    <row r="185" spans="2:4" x14ac:dyDescent="0.35">
      <c r="B185">
        <v>29</v>
      </c>
      <c r="C185" t="s">
        <v>68</v>
      </c>
      <c r="D185" s="19" t="s">
        <v>339</v>
      </c>
    </row>
    <row r="186" spans="2:4" x14ac:dyDescent="0.35">
      <c r="C186" t="s">
        <v>128</v>
      </c>
      <c r="D186" s="19" t="s">
        <v>342</v>
      </c>
    </row>
    <row r="187" spans="2:4" x14ac:dyDescent="0.35">
      <c r="C187" t="s">
        <v>128</v>
      </c>
      <c r="D187" s="17" t="s">
        <v>343</v>
      </c>
    </row>
    <row r="188" spans="2:4" x14ac:dyDescent="0.35">
      <c r="C188" t="s">
        <v>128</v>
      </c>
      <c r="D188" s="22" t="s">
        <v>344</v>
      </c>
    </row>
    <row r="189" spans="2:4" x14ac:dyDescent="0.35">
      <c r="C189" t="s">
        <v>32</v>
      </c>
      <c r="D189" s="17" t="s">
        <v>345</v>
      </c>
    </row>
    <row r="190" spans="2:4" x14ac:dyDescent="0.35">
      <c r="D190" t="s">
        <v>346</v>
      </c>
    </row>
    <row r="191" spans="2:4" x14ac:dyDescent="0.35">
      <c r="D191" t="s">
        <v>346</v>
      </c>
    </row>
    <row r="192" spans="2:4" x14ac:dyDescent="0.35">
      <c r="D192" t="s">
        <v>346</v>
      </c>
    </row>
    <row r="193" spans="2:4" x14ac:dyDescent="0.35">
      <c r="D193" t="s">
        <v>347</v>
      </c>
    </row>
    <row r="194" spans="2:4" x14ac:dyDescent="0.35">
      <c r="D194" t="s">
        <v>348</v>
      </c>
    </row>
    <row r="195" spans="2:4" x14ac:dyDescent="0.35">
      <c r="D195" t="s">
        <v>349</v>
      </c>
    </row>
    <row r="196" spans="2:4" x14ac:dyDescent="0.35">
      <c r="D196" t="s">
        <v>350</v>
      </c>
    </row>
    <row r="197" spans="2:4" x14ac:dyDescent="0.35">
      <c r="D197" t="s">
        <v>351</v>
      </c>
    </row>
    <row r="198" spans="2:4" x14ac:dyDescent="0.35">
      <c r="C198" t="s">
        <v>36</v>
      </c>
      <c r="D198" s="19" t="s">
        <v>352</v>
      </c>
    </row>
    <row r="199" spans="2:4" x14ac:dyDescent="0.35">
      <c r="C199" t="s">
        <v>36</v>
      </c>
      <c r="D199" s="19" t="s">
        <v>353</v>
      </c>
    </row>
    <row r="200" spans="2:4" x14ac:dyDescent="0.35">
      <c r="C200" t="s">
        <v>36</v>
      </c>
      <c r="D200" s="19" t="s">
        <v>354</v>
      </c>
    </row>
    <row r="201" spans="2:4" x14ac:dyDescent="0.35">
      <c r="C201" t="s">
        <v>36</v>
      </c>
      <c r="D201" s="19" t="s">
        <v>355</v>
      </c>
    </row>
    <row r="202" spans="2:4" x14ac:dyDescent="0.35">
      <c r="B202">
        <v>31</v>
      </c>
      <c r="C202" t="s">
        <v>68</v>
      </c>
      <c r="D202" s="19" t="s">
        <v>356</v>
      </c>
    </row>
    <row r="203" spans="2:4" x14ac:dyDescent="0.35">
      <c r="C203" t="s">
        <v>128</v>
      </c>
      <c r="D203" s="19" t="s">
        <v>357</v>
      </c>
    </row>
    <row r="204" spans="2:4" ht="43.5" x14ac:dyDescent="0.35">
      <c r="C204" t="s">
        <v>128</v>
      </c>
      <c r="D204" s="23" t="s">
        <v>358</v>
      </c>
    </row>
    <row r="205" spans="2:4" x14ac:dyDescent="0.35">
      <c r="C205" t="s">
        <v>32</v>
      </c>
      <c r="D205" s="19" t="s">
        <v>359</v>
      </c>
    </row>
    <row r="206" spans="2:4" x14ac:dyDescent="0.35">
      <c r="D206" t="s">
        <v>335</v>
      </c>
    </row>
    <row r="207" spans="2:4" x14ac:dyDescent="0.35">
      <c r="D207" s="19" t="s">
        <v>360</v>
      </c>
    </row>
    <row r="208" spans="2:4" x14ac:dyDescent="0.35">
      <c r="D208" s="20" t="s">
        <v>361</v>
      </c>
    </row>
    <row r="209" spans="4:4" x14ac:dyDescent="0.35">
      <c r="D209" t="s">
        <v>338</v>
      </c>
    </row>
    <row r="210" spans="4:4" x14ac:dyDescent="0.35">
      <c r="D210"/>
    </row>
    <row r="211" spans="4:4" x14ac:dyDescent="0.35">
      <c r="D211"/>
    </row>
    <row r="212" spans="4:4" x14ac:dyDescent="0.35">
      <c r="D212"/>
    </row>
    <row r="213" spans="4:4" x14ac:dyDescent="0.35">
      <c r="D213"/>
    </row>
    <row r="214" spans="4:4" x14ac:dyDescent="0.35">
      <c r="D214"/>
    </row>
    <row r="215" spans="4:4" x14ac:dyDescent="0.35">
      <c r="D215"/>
    </row>
    <row r="216" spans="4:4" x14ac:dyDescent="0.35">
      <c r="D216"/>
    </row>
    <row r="217" spans="4:4" x14ac:dyDescent="0.35">
      <c r="D217"/>
    </row>
    <row r="218" spans="4:4" x14ac:dyDescent="0.35">
      <c r="D218"/>
    </row>
    <row r="219" spans="4:4" x14ac:dyDescent="0.35">
      <c r="D219"/>
    </row>
    <row r="220" spans="4:4" x14ac:dyDescent="0.35">
      <c r="D220"/>
    </row>
    <row r="221" spans="4:4" x14ac:dyDescent="0.35">
      <c r="D221"/>
    </row>
    <row r="222" spans="4:4" x14ac:dyDescent="0.35">
      <c r="D222"/>
    </row>
    <row r="223" spans="4:4" x14ac:dyDescent="0.35">
      <c r="D223"/>
    </row>
    <row r="224" spans="4:4" x14ac:dyDescent="0.35">
      <c r="D224"/>
    </row>
    <row r="225" spans="4:4" x14ac:dyDescent="0.35">
      <c r="D225"/>
    </row>
    <row r="226" spans="4:4" x14ac:dyDescent="0.35">
      <c r="D226"/>
    </row>
    <row r="227" spans="4:4" x14ac:dyDescent="0.35">
      <c r="D227"/>
    </row>
    <row r="228" spans="4:4" x14ac:dyDescent="0.35">
      <c r="D228"/>
    </row>
    <row r="229" spans="4:4" x14ac:dyDescent="0.35">
      <c r="D229"/>
    </row>
    <row r="230" spans="4:4" x14ac:dyDescent="0.35">
      <c r="D230"/>
    </row>
    <row r="231" spans="4:4" x14ac:dyDescent="0.35">
      <c r="D231"/>
    </row>
    <row r="232" spans="4:4" x14ac:dyDescent="0.35">
      <c r="D232"/>
    </row>
    <row r="233" spans="4:4" x14ac:dyDescent="0.35">
      <c r="D233"/>
    </row>
    <row r="234" spans="4:4" x14ac:dyDescent="0.35">
      <c r="D234"/>
    </row>
    <row r="235" spans="4:4" x14ac:dyDescent="0.35">
      <c r="D235"/>
    </row>
    <row r="236" spans="4:4" x14ac:dyDescent="0.35">
      <c r="D236"/>
    </row>
    <row r="237" spans="4:4" x14ac:dyDescent="0.35">
      <c r="D237"/>
    </row>
    <row r="238" spans="4:4" x14ac:dyDescent="0.35">
      <c r="D238"/>
    </row>
    <row r="239" spans="4:4" x14ac:dyDescent="0.35">
      <c r="D239"/>
    </row>
    <row r="240" spans="4:4" x14ac:dyDescent="0.35">
      <c r="D240"/>
    </row>
    <row r="241" spans="4:4" x14ac:dyDescent="0.35">
      <c r="D241"/>
    </row>
    <row r="242" spans="4:4" x14ac:dyDescent="0.35">
      <c r="D242"/>
    </row>
    <row r="243" spans="4:4" x14ac:dyDescent="0.35">
      <c r="D243"/>
    </row>
    <row r="244" spans="4:4" x14ac:dyDescent="0.35">
      <c r="D244"/>
    </row>
    <row r="245" spans="4:4" x14ac:dyDescent="0.35">
      <c r="D245"/>
    </row>
    <row r="246" spans="4:4" x14ac:dyDescent="0.35">
      <c r="D246"/>
    </row>
    <row r="247" spans="4:4" x14ac:dyDescent="0.35">
      <c r="D247"/>
    </row>
    <row r="248" spans="4:4" x14ac:dyDescent="0.35">
      <c r="D248"/>
    </row>
    <row r="249" spans="4:4" x14ac:dyDescent="0.35">
      <c r="D249"/>
    </row>
    <row r="250" spans="4:4" x14ac:dyDescent="0.35">
      <c r="D250"/>
    </row>
    <row r="251" spans="4:4" x14ac:dyDescent="0.35">
      <c r="D251"/>
    </row>
    <row r="252" spans="4:4" x14ac:dyDescent="0.35">
      <c r="D252"/>
    </row>
    <row r="253" spans="4:4" x14ac:dyDescent="0.35">
      <c r="D253"/>
    </row>
    <row r="254" spans="4:4" x14ac:dyDescent="0.35">
      <c r="D254"/>
    </row>
    <row r="255" spans="4:4" x14ac:dyDescent="0.35">
      <c r="D255"/>
    </row>
    <row r="256" spans="4:4" x14ac:dyDescent="0.35">
      <c r="D256"/>
    </row>
    <row r="257" spans="4:4" x14ac:dyDescent="0.35">
      <c r="D257"/>
    </row>
    <row r="258" spans="4:4" x14ac:dyDescent="0.35">
      <c r="D258"/>
    </row>
    <row r="259" spans="4:4" x14ac:dyDescent="0.35">
      <c r="D259"/>
    </row>
    <row r="260" spans="4:4" x14ac:dyDescent="0.35">
      <c r="D260"/>
    </row>
    <row r="261" spans="4:4" x14ac:dyDescent="0.35">
      <c r="D261"/>
    </row>
    <row r="262" spans="4:4" x14ac:dyDescent="0.35">
      <c r="D262"/>
    </row>
    <row r="263" spans="4:4" x14ac:dyDescent="0.35">
      <c r="D263"/>
    </row>
    <row r="264" spans="4:4" x14ac:dyDescent="0.35">
      <c r="D264"/>
    </row>
    <row r="265" spans="4:4" x14ac:dyDescent="0.35">
      <c r="D265"/>
    </row>
    <row r="266" spans="4:4" x14ac:dyDescent="0.35">
      <c r="D266"/>
    </row>
    <row r="267" spans="4:4" x14ac:dyDescent="0.35">
      <c r="D267"/>
    </row>
    <row r="268" spans="4:4" x14ac:dyDescent="0.35">
      <c r="D268"/>
    </row>
    <row r="269" spans="4:4" x14ac:dyDescent="0.35">
      <c r="D269"/>
    </row>
    <row r="270" spans="4:4" x14ac:dyDescent="0.35">
      <c r="D270"/>
    </row>
    <row r="271" spans="4:4" x14ac:dyDescent="0.35">
      <c r="D271"/>
    </row>
    <row r="272" spans="4:4" x14ac:dyDescent="0.35">
      <c r="D272"/>
    </row>
    <row r="273" spans="4:4" x14ac:dyDescent="0.35">
      <c r="D273"/>
    </row>
    <row r="274" spans="4:4" x14ac:dyDescent="0.35">
      <c r="D274"/>
    </row>
    <row r="275" spans="4:4" x14ac:dyDescent="0.35">
      <c r="D275"/>
    </row>
    <row r="276" spans="4:4" x14ac:dyDescent="0.35">
      <c r="D276"/>
    </row>
    <row r="277" spans="4:4" x14ac:dyDescent="0.35">
      <c r="D277"/>
    </row>
    <row r="278" spans="4:4" x14ac:dyDescent="0.35">
      <c r="D278"/>
    </row>
    <row r="279" spans="4:4" x14ac:dyDescent="0.35">
      <c r="D279"/>
    </row>
    <row r="280" spans="4:4" x14ac:dyDescent="0.35">
      <c r="D280"/>
    </row>
    <row r="281" spans="4:4" x14ac:dyDescent="0.35">
      <c r="D281"/>
    </row>
    <row r="282" spans="4:4" x14ac:dyDescent="0.35">
      <c r="D282"/>
    </row>
    <row r="283" spans="4:4" x14ac:dyDescent="0.35">
      <c r="D283"/>
    </row>
    <row r="284" spans="4:4" x14ac:dyDescent="0.35">
      <c r="D284"/>
    </row>
    <row r="285" spans="4:4" x14ac:dyDescent="0.35">
      <c r="D285"/>
    </row>
    <row r="286" spans="4:4" x14ac:dyDescent="0.35">
      <c r="D286"/>
    </row>
    <row r="287" spans="4:4" x14ac:dyDescent="0.35">
      <c r="D287"/>
    </row>
    <row r="288" spans="4:4" x14ac:dyDescent="0.35">
      <c r="D288"/>
    </row>
    <row r="289" spans="4:4" x14ac:dyDescent="0.35">
      <c r="D289"/>
    </row>
    <row r="290" spans="4:4" x14ac:dyDescent="0.35">
      <c r="D290"/>
    </row>
    <row r="291" spans="4:4" x14ac:dyDescent="0.35">
      <c r="D291"/>
    </row>
    <row r="292" spans="4:4" x14ac:dyDescent="0.35">
      <c r="D292"/>
    </row>
    <row r="293" spans="4:4" x14ac:dyDescent="0.35">
      <c r="D293"/>
    </row>
    <row r="294" spans="4:4" x14ac:dyDescent="0.35">
      <c r="D294"/>
    </row>
    <row r="295" spans="4:4" x14ac:dyDescent="0.35">
      <c r="D295"/>
    </row>
    <row r="296" spans="4:4" x14ac:dyDescent="0.35">
      <c r="D296"/>
    </row>
    <row r="297" spans="4:4" x14ac:dyDescent="0.35">
      <c r="D297"/>
    </row>
    <row r="298" spans="4:4" x14ac:dyDescent="0.35">
      <c r="D298"/>
    </row>
    <row r="299" spans="4:4" x14ac:dyDescent="0.35">
      <c r="D299"/>
    </row>
    <row r="300" spans="4:4" x14ac:dyDescent="0.35">
      <c r="D300"/>
    </row>
    <row r="301" spans="4:4" x14ac:dyDescent="0.35">
      <c r="D301"/>
    </row>
    <row r="302" spans="4:4" x14ac:dyDescent="0.35">
      <c r="D302"/>
    </row>
    <row r="303" spans="4:4" x14ac:dyDescent="0.35">
      <c r="D303"/>
    </row>
    <row r="304" spans="4:4" x14ac:dyDescent="0.35">
      <c r="D304"/>
    </row>
    <row r="305" spans="4:4" x14ac:dyDescent="0.35">
      <c r="D305"/>
    </row>
    <row r="306" spans="4:4" x14ac:dyDescent="0.35">
      <c r="D306"/>
    </row>
    <row r="307" spans="4:4" x14ac:dyDescent="0.35">
      <c r="D307"/>
    </row>
    <row r="308" spans="4:4" x14ac:dyDescent="0.35">
      <c r="D308"/>
    </row>
    <row r="309" spans="4:4" x14ac:dyDescent="0.35">
      <c r="D309"/>
    </row>
    <row r="310" spans="4:4" x14ac:dyDescent="0.35">
      <c r="D310"/>
    </row>
    <row r="311" spans="4:4" x14ac:dyDescent="0.35">
      <c r="D311"/>
    </row>
    <row r="312" spans="4:4" x14ac:dyDescent="0.35">
      <c r="D312"/>
    </row>
    <row r="313" spans="4:4" x14ac:dyDescent="0.35">
      <c r="D313"/>
    </row>
    <row r="314" spans="4:4" x14ac:dyDescent="0.35">
      <c r="D314"/>
    </row>
    <row r="315" spans="4:4" x14ac:dyDescent="0.35">
      <c r="D315"/>
    </row>
    <row r="316" spans="4:4" x14ac:dyDescent="0.35">
      <c r="D316"/>
    </row>
    <row r="317" spans="4:4" x14ac:dyDescent="0.35">
      <c r="D317"/>
    </row>
    <row r="321" spans="4:8" x14ac:dyDescent="0.35">
      <c r="G321" s="19"/>
      <c r="H321" s="19"/>
    </row>
    <row r="322" spans="4:8" x14ac:dyDescent="0.35">
      <c r="G322" s="19"/>
      <c r="H322" s="19"/>
    </row>
    <row r="323" spans="4:8" x14ac:dyDescent="0.35">
      <c r="G323" s="19"/>
    </row>
    <row r="335" spans="4:8" x14ac:dyDescent="0.35">
      <c r="F335" s="20"/>
    </row>
    <row r="336" spans="4:8" x14ac:dyDescent="0.35">
      <c r="D336"/>
    </row>
    <row r="337" spans="2:8" x14ac:dyDescent="0.35">
      <c r="D337"/>
    </row>
    <row r="338" spans="2:8" x14ac:dyDescent="0.35">
      <c r="B338">
        <v>64</v>
      </c>
      <c r="C338" t="s">
        <v>68</v>
      </c>
      <c r="D338" s="19" t="s">
        <v>362</v>
      </c>
      <c r="G338" s="19"/>
      <c r="H338" s="19"/>
    </row>
    <row r="339" spans="2:8" x14ac:dyDescent="0.35">
      <c r="B339" s="19">
        <v>64</v>
      </c>
      <c r="C339" t="s">
        <v>363</v>
      </c>
      <c r="D339" s="19" t="s">
        <v>364</v>
      </c>
      <c r="F339" s="19"/>
      <c r="G339" s="19"/>
    </row>
    <row r="340" spans="2:8" x14ac:dyDescent="0.35">
      <c r="B340" s="19">
        <v>64</v>
      </c>
      <c r="C340" t="s">
        <v>363</v>
      </c>
      <c r="D340" s="19" t="s">
        <v>365</v>
      </c>
      <c r="F340" s="19"/>
      <c r="G340" s="19"/>
    </row>
    <row r="341" spans="2:8" x14ac:dyDescent="0.35">
      <c r="B341" s="19">
        <v>64</v>
      </c>
      <c r="C341" t="s">
        <v>363</v>
      </c>
      <c r="D341" s="19" t="s">
        <v>366</v>
      </c>
      <c r="F341" s="19"/>
      <c r="G341" s="19"/>
    </row>
    <row r="342" spans="2:8" x14ac:dyDescent="0.35">
      <c r="B342">
        <v>64</v>
      </c>
      <c r="C342" t="s">
        <v>4</v>
      </c>
      <c r="D342" t="s">
        <v>367</v>
      </c>
    </row>
    <row r="343" spans="2:8" x14ac:dyDescent="0.35">
      <c r="B343" s="19">
        <v>64</v>
      </c>
      <c r="C343" t="s">
        <v>6</v>
      </c>
      <c r="D343" t="s">
        <v>368</v>
      </c>
    </row>
    <row r="344" spans="2:8" x14ac:dyDescent="0.35">
      <c r="B344" s="19">
        <v>64</v>
      </c>
      <c r="C344" t="s">
        <v>6</v>
      </c>
      <c r="D344" t="s">
        <v>369</v>
      </c>
    </row>
    <row r="345" spans="2:8" x14ac:dyDescent="0.35">
      <c r="B345" s="19">
        <v>64</v>
      </c>
      <c r="C345" t="s">
        <v>6</v>
      </c>
      <c r="D345" s="20" t="s">
        <v>370</v>
      </c>
    </row>
    <row r="346" spans="2:8" x14ac:dyDescent="0.35">
      <c r="B346">
        <v>64</v>
      </c>
      <c r="C346" t="s">
        <v>32</v>
      </c>
      <c r="D346" s="19" t="s">
        <v>371</v>
      </c>
    </row>
    <row r="347" spans="2:8" x14ac:dyDescent="0.35">
      <c r="B347" s="19">
        <v>64</v>
      </c>
      <c r="C347" t="s">
        <v>79</v>
      </c>
      <c r="D347" s="19" t="s">
        <v>372</v>
      </c>
    </row>
    <row r="348" spans="2:8" x14ac:dyDescent="0.35">
      <c r="B348" s="19">
        <v>64</v>
      </c>
      <c r="C348" t="s">
        <v>6</v>
      </c>
      <c r="D348" t="s">
        <v>373</v>
      </c>
    </row>
    <row r="349" spans="2:8" x14ac:dyDescent="0.35">
      <c r="B349" s="19">
        <v>64</v>
      </c>
      <c r="C349" t="s">
        <v>36</v>
      </c>
      <c r="D349" t="s">
        <v>374</v>
      </c>
    </row>
    <row r="350" spans="2:8" x14ac:dyDescent="0.35">
      <c r="B350" s="19">
        <v>64</v>
      </c>
      <c r="C350" t="s">
        <v>36</v>
      </c>
      <c r="D350" t="s">
        <v>375</v>
      </c>
    </row>
    <row r="351" spans="2:8" x14ac:dyDescent="0.35">
      <c r="B351">
        <v>65</v>
      </c>
      <c r="C351" t="s">
        <v>32</v>
      </c>
      <c r="D351" s="25" t="s">
        <v>376</v>
      </c>
    </row>
    <row r="352" spans="2:8" x14ac:dyDescent="0.35">
      <c r="B352">
        <v>65</v>
      </c>
      <c r="C352" t="s">
        <v>4</v>
      </c>
      <c r="D352" s="26" t="s">
        <v>377</v>
      </c>
    </row>
    <row r="353" spans="2:8" x14ac:dyDescent="0.35">
      <c r="B353" s="19">
        <v>67</v>
      </c>
      <c r="C353" t="s">
        <v>32</v>
      </c>
      <c r="D353" s="19" t="s">
        <v>378</v>
      </c>
      <c r="G353" s="19"/>
      <c r="H353" s="19"/>
    </row>
    <row r="354" spans="2:8" x14ac:dyDescent="0.35">
      <c r="B354" s="19">
        <v>67</v>
      </c>
      <c r="C354" t="s">
        <v>32</v>
      </c>
      <c r="D354" s="19" t="s">
        <v>379</v>
      </c>
      <c r="G354" s="19"/>
      <c r="H354" s="19"/>
    </row>
    <row r="355" spans="2:8" x14ac:dyDescent="0.35">
      <c r="B355" s="19">
        <v>67</v>
      </c>
      <c r="C355" t="s">
        <v>32</v>
      </c>
      <c r="D355" s="19" t="s">
        <v>380</v>
      </c>
    </row>
    <row r="356" spans="2:8" x14ac:dyDescent="0.35">
      <c r="B356" s="19">
        <v>67</v>
      </c>
      <c r="C356" t="s">
        <v>32</v>
      </c>
      <c r="D356" s="19" t="s">
        <v>381</v>
      </c>
    </row>
    <row r="357" spans="2:8" x14ac:dyDescent="0.35">
      <c r="B357" s="19">
        <v>67</v>
      </c>
      <c r="C357" t="s">
        <v>32</v>
      </c>
      <c r="D357" s="19" t="s">
        <v>382</v>
      </c>
    </row>
    <row r="358" spans="2:8" x14ac:dyDescent="0.35">
      <c r="B358" s="19">
        <v>67</v>
      </c>
      <c r="C358" t="s">
        <v>4</v>
      </c>
      <c r="D358" t="s">
        <v>383</v>
      </c>
    </row>
    <row r="359" spans="2:8" x14ac:dyDescent="0.35">
      <c r="B359" s="19">
        <v>67</v>
      </c>
      <c r="C359" t="s">
        <v>4</v>
      </c>
      <c r="D359" s="20" t="s">
        <v>384</v>
      </c>
    </row>
    <row r="360" spans="2:8" x14ac:dyDescent="0.35">
      <c r="B360" s="19">
        <v>67</v>
      </c>
      <c r="C360" t="s">
        <v>4</v>
      </c>
      <c r="D360" t="s">
        <v>385</v>
      </c>
    </row>
    <row r="361" spans="2:8" x14ac:dyDescent="0.35">
      <c r="B361" s="19">
        <v>67</v>
      </c>
      <c r="C361" t="s">
        <v>4</v>
      </c>
      <c r="D361" t="s">
        <v>386</v>
      </c>
    </row>
    <row r="362" spans="2:8" x14ac:dyDescent="0.35">
      <c r="B362" s="19">
        <v>67</v>
      </c>
      <c r="C362" t="s">
        <v>4</v>
      </c>
      <c r="D362" s="20" t="s">
        <v>387</v>
      </c>
    </row>
    <row r="363" spans="2:8" x14ac:dyDescent="0.35">
      <c r="B363" s="19">
        <v>67</v>
      </c>
      <c r="C363" t="s">
        <v>79</v>
      </c>
      <c r="D363" s="19" t="s">
        <v>388</v>
      </c>
    </row>
    <row r="364" spans="2:8" x14ac:dyDescent="0.35">
      <c r="B364" s="19">
        <v>67</v>
      </c>
      <c r="C364" t="s">
        <v>6</v>
      </c>
      <c r="D364" s="20" t="s">
        <v>389</v>
      </c>
    </row>
    <row r="365" spans="2:8" x14ac:dyDescent="0.35">
      <c r="B365" s="19">
        <v>67</v>
      </c>
      <c r="C365" t="s">
        <v>6</v>
      </c>
      <c r="D365" s="19" t="s">
        <v>390</v>
      </c>
    </row>
    <row r="366" spans="2:8" x14ac:dyDescent="0.35">
      <c r="B366" s="19">
        <v>67</v>
      </c>
      <c r="C366" t="s">
        <v>79</v>
      </c>
      <c r="D366" t="s">
        <v>391</v>
      </c>
    </row>
    <row r="367" spans="2:8" x14ac:dyDescent="0.35">
      <c r="B367" s="19">
        <v>67</v>
      </c>
      <c r="C367" t="s">
        <v>6</v>
      </c>
      <c r="D367" t="s">
        <v>392</v>
      </c>
    </row>
    <row r="368" spans="2:8" x14ac:dyDescent="0.35">
      <c r="B368" s="19">
        <v>67</v>
      </c>
      <c r="C368" t="s">
        <v>36</v>
      </c>
      <c r="D368" s="19" t="s">
        <v>393</v>
      </c>
    </row>
    <row r="369" spans="2:8" x14ac:dyDescent="0.35">
      <c r="B369" s="19">
        <v>68</v>
      </c>
      <c r="C369" t="s">
        <v>32</v>
      </c>
      <c r="D369" s="19" t="s">
        <v>394</v>
      </c>
      <c r="G369" s="19"/>
    </row>
    <row r="370" spans="2:8" x14ac:dyDescent="0.35">
      <c r="B370" s="19">
        <v>68</v>
      </c>
      <c r="C370" t="s">
        <v>32</v>
      </c>
      <c r="D370" s="19" t="s">
        <v>395</v>
      </c>
      <c r="G370" s="19"/>
    </row>
    <row r="371" spans="2:8" x14ac:dyDescent="0.35">
      <c r="B371" s="19">
        <v>68</v>
      </c>
      <c r="C371" t="s">
        <v>32</v>
      </c>
      <c r="D371" s="19" t="s">
        <v>396</v>
      </c>
      <c r="H371" s="20"/>
    </row>
    <row r="372" spans="2:8" x14ac:dyDescent="0.35">
      <c r="B372" s="19">
        <v>68</v>
      </c>
      <c r="C372" t="s">
        <v>32</v>
      </c>
      <c r="D372" s="19" t="s">
        <v>397</v>
      </c>
      <c r="G372" s="19"/>
    </row>
    <row r="373" spans="2:8" x14ac:dyDescent="0.35">
      <c r="B373" s="19">
        <v>68</v>
      </c>
      <c r="C373" t="s">
        <v>4</v>
      </c>
      <c r="D373" t="s">
        <v>398</v>
      </c>
    </row>
    <row r="374" spans="2:8" x14ac:dyDescent="0.35">
      <c r="B374" s="19">
        <v>68</v>
      </c>
      <c r="C374" t="s">
        <v>4</v>
      </c>
      <c r="D374" t="s">
        <v>399</v>
      </c>
    </row>
    <row r="375" spans="2:8" x14ac:dyDescent="0.35">
      <c r="B375" s="19">
        <v>68</v>
      </c>
      <c r="C375" t="s">
        <v>79</v>
      </c>
      <c r="D375" s="19" t="s">
        <v>400</v>
      </c>
    </row>
    <row r="376" spans="2:8" x14ac:dyDescent="0.35">
      <c r="B376" s="19">
        <v>68</v>
      </c>
      <c r="C376" t="s">
        <v>6</v>
      </c>
      <c r="D376" s="20" t="s">
        <v>389</v>
      </c>
    </row>
    <row r="377" spans="2:8" x14ac:dyDescent="0.35">
      <c r="B377" s="19">
        <v>68</v>
      </c>
      <c r="C377" t="s">
        <v>79</v>
      </c>
      <c r="D377" t="s">
        <v>401</v>
      </c>
    </row>
    <row r="378" spans="2:8" x14ac:dyDescent="0.35">
      <c r="B378" s="19">
        <v>68</v>
      </c>
      <c r="C378" t="s">
        <v>6</v>
      </c>
      <c r="D378" t="s">
        <v>402</v>
      </c>
    </row>
    <row r="379" spans="2:8" x14ac:dyDescent="0.35">
      <c r="B379" s="19">
        <v>68</v>
      </c>
      <c r="C379" t="s">
        <v>36</v>
      </c>
      <c r="D379" s="19" t="s">
        <v>403</v>
      </c>
    </row>
    <row r="380" spans="2:8" x14ac:dyDescent="0.35">
      <c r="B380" s="19">
        <v>69</v>
      </c>
      <c r="C380" t="s">
        <v>32</v>
      </c>
      <c r="D380" s="19" t="s">
        <v>404</v>
      </c>
      <c r="G380" s="19"/>
      <c r="H380" s="19"/>
    </row>
    <row r="381" spans="2:8" x14ac:dyDescent="0.35">
      <c r="B381" s="19">
        <v>69</v>
      </c>
      <c r="C381" t="s">
        <v>32</v>
      </c>
      <c r="D381" s="19" t="s">
        <v>405</v>
      </c>
      <c r="G381" s="19"/>
      <c r="H381" s="19"/>
    </row>
    <row r="382" spans="2:8" x14ac:dyDescent="0.35">
      <c r="B382" s="19">
        <v>69</v>
      </c>
      <c r="C382" t="s">
        <v>32</v>
      </c>
      <c r="D382" s="19" t="s">
        <v>406</v>
      </c>
      <c r="G382" s="19"/>
    </row>
    <row r="383" spans="2:8" x14ac:dyDescent="0.35">
      <c r="B383" s="19">
        <v>69</v>
      </c>
      <c r="C383" t="s">
        <v>4</v>
      </c>
      <c r="D383" t="s">
        <v>407</v>
      </c>
    </row>
    <row r="384" spans="2:8" x14ac:dyDescent="0.35">
      <c r="B384" s="19">
        <v>69</v>
      </c>
      <c r="C384" t="s">
        <v>4</v>
      </c>
      <c r="D384" t="s">
        <v>408</v>
      </c>
    </row>
    <row r="385" spans="2:7" x14ac:dyDescent="0.35">
      <c r="B385" s="19">
        <v>69</v>
      </c>
      <c r="C385" t="s">
        <v>6</v>
      </c>
      <c r="D385" s="20" t="s">
        <v>389</v>
      </c>
    </row>
    <row r="386" spans="2:7" x14ac:dyDescent="0.35">
      <c r="B386" s="19">
        <v>69</v>
      </c>
      <c r="C386" t="s">
        <v>79</v>
      </c>
      <c r="D386" t="s">
        <v>409</v>
      </c>
    </row>
    <row r="387" spans="2:7" x14ac:dyDescent="0.35">
      <c r="B387" s="19">
        <v>69</v>
      </c>
      <c r="C387" t="s">
        <v>6</v>
      </c>
      <c r="D387" s="24" t="s">
        <v>410</v>
      </c>
    </row>
    <row r="388" spans="2:7" x14ac:dyDescent="0.35">
      <c r="B388" s="19">
        <v>69</v>
      </c>
      <c r="C388" t="s">
        <v>36</v>
      </c>
      <c r="D388" s="19" t="s">
        <v>411</v>
      </c>
    </row>
    <row r="389" spans="2:7" x14ac:dyDescent="0.35">
      <c r="B389">
        <v>70</v>
      </c>
      <c r="C389" t="s">
        <v>32</v>
      </c>
      <c r="D389" s="19" t="s">
        <v>412</v>
      </c>
      <c r="F389" s="19"/>
      <c r="G389" s="19"/>
    </row>
    <row r="390" spans="2:7" x14ac:dyDescent="0.35">
      <c r="B390">
        <v>70</v>
      </c>
      <c r="C390" t="s">
        <v>32</v>
      </c>
      <c r="D390" s="19" t="s">
        <v>413</v>
      </c>
      <c r="F390" s="19"/>
      <c r="G390" s="19"/>
    </row>
    <row r="391" spans="2:7" x14ac:dyDescent="0.35">
      <c r="B391">
        <v>70</v>
      </c>
      <c r="C391" t="s">
        <v>32</v>
      </c>
      <c r="D391" s="19" t="s">
        <v>414</v>
      </c>
    </row>
    <row r="392" spans="2:7" x14ac:dyDescent="0.35">
      <c r="B392">
        <v>70</v>
      </c>
      <c r="C392" t="s">
        <v>32</v>
      </c>
      <c r="D392" s="19" t="s">
        <v>415</v>
      </c>
    </row>
    <row r="393" spans="2:7" x14ac:dyDescent="0.35">
      <c r="B393">
        <v>70</v>
      </c>
      <c r="C393" t="s">
        <v>4</v>
      </c>
      <c r="D393" t="s">
        <v>416</v>
      </c>
    </row>
    <row r="394" spans="2:7" x14ac:dyDescent="0.35">
      <c r="B394">
        <v>70</v>
      </c>
      <c r="C394" t="s">
        <v>6</v>
      </c>
      <c r="D394" s="19" t="s">
        <v>417</v>
      </c>
    </row>
    <row r="395" spans="2:7" x14ac:dyDescent="0.35">
      <c r="B395">
        <v>70</v>
      </c>
      <c r="C395" t="s">
        <v>79</v>
      </c>
      <c r="D395" s="20" t="s">
        <v>400</v>
      </c>
    </row>
    <row r="396" spans="2:7" x14ac:dyDescent="0.35">
      <c r="B396">
        <v>70</v>
      </c>
      <c r="C396" t="s">
        <v>6</v>
      </c>
      <c r="D396" s="19" t="s">
        <v>418</v>
      </c>
    </row>
    <row r="397" spans="2:7" x14ac:dyDescent="0.35">
      <c r="B397">
        <v>70</v>
      </c>
      <c r="C397" t="s">
        <v>79</v>
      </c>
      <c r="D397" t="s">
        <v>419</v>
      </c>
    </row>
    <row r="398" spans="2:7" x14ac:dyDescent="0.35">
      <c r="B398">
        <v>70</v>
      </c>
      <c r="C398" t="s">
        <v>6</v>
      </c>
      <c r="D398" s="20" t="s">
        <v>420</v>
      </c>
    </row>
    <row r="399" spans="2:7" x14ac:dyDescent="0.35">
      <c r="B399">
        <v>70</v>
      </c>
      <c r="C399" t="s">
        <v>36</v>
      </c>
      <c r="D399" s="19" t="s">
        <v>421</v>
      </c>
    </row>
    <row r="400" spans="2:7" x14ac:dyDescent="0.35">
      <c r="B400" s="19">
        <v>71</v>
      </c>
      <c r="C400" t="s">
        <v>32</v>
      </c>
      <c r="D400" s="19" t="s">
        <v>422</v>
      </c>
      <c r="F400" s="19"/>
      <c r="G400" s="19"/>
    </row>
    <row r="401" spans="2:7" x14ac:dyDescent="0.35">
      <c r="B401" s="19">
        <v>71</v>
      </c>
      <c r="C401" t="s">
        <v>32</v>
      </c>
      <c r="D401" s="19" t="s">
        <v>423</v>
      </c>
      <c r="F401" s="19"/>
      <c r="G401" s="19"/>
    </row>
    <row r="402" spans="2:7" x14ac:dyDescent="0.35">
      <c r="B402" s="19">
        <v>71</v>
      </c>
      <c r="C402" t="s">
        <v>32</v>
      </c>
      <c r="D402" s="19" t="s">
        <v>424</v>
      </c>
    </row>
    <row r="403" spans="2:7" x14ac:dyDescent="0.35">
      <c r="B403" s="19">
        <v>71</v>
      </c>
      <c r="C403" t="s">
        <v>32</v>
      </c>
      <c r="D403" s="19" t="s">
        <v>425</v>
      </c>
      <c r="F403" s="19"/>
      <c r="G403" s="19"/>
    </row>
    <row r="404" spans="2:7" x14ac:dyDescent="0.35">
      <c r="B404" s="19">
        <v>71</v>
      </c>
      <c r="C404" t="s">
        <v>4</v>
      </c>
      <c r="D404" t="s">
        <v>288</v>
      </c>
    </row>
    <row r="405" spans="2:7" x14ac:dyDescent="0.35">
      <c r="B405" s="19">
        <v>71</v>
      </c>
      <c r="C405" t="s">
        <v>79</v>
      </c>
      <c r="D405" s="19" t="s">
        <v>426</v>
      </c>
    </row>
    <row r="406" spans="2:7" x14ac:dyDescent="0.35">
      <c r="B406" s="19">
        <v>71</v>
      </c>
      <c r="C406" t="s">
        <v>6</v>
      </c>
      <c r="D406" t="s">
        <v>427</v>
      </c>
    </row>
    <row r="407" spans="2:7" x14ac:dyDescent="0.35">
      <c r="B407" s="19">
        <v>71</v>
      </c>
      <c r="C407" t="s">
        <v>6</v>
      </c>
      <c r="D407" s="19" t="s">
        <v>428</v>
      </c>
    </row>
    <row r="408" spans="2:7" x14ac:dyDescent="0.35">
      <c r="B408" s="19">
        <v>71</v>
      </c>
      <c r="C408" t="s">
        <v>6</v>
      </c>
      <c r="D408" s="19" t="s">
        <v>429</v>
      </c>
    </row>
    <row r="409" spans="2:7" x14ac:dyDescent="0.35">
      <c r="B409" s="19">
        <v>71</v>
      </c>
      <c r="C409" t="s">
        <v>79</v>
      </c>
      <c r="D409" t="s">
        <v>430</v>
      </c>
    </row>
    <row r="410" spans="2:7" x14ac:dyDescent="0.35">
      <c r="B410" s="19">
        <v>71</v>
      </c>
      <c r="C410" t="s">
        <v>6</v>
      </c>
      <c r="D410" s="18" t="s">
        <v>431</v>
      </c>
    </row>
    <row r="411" spans="2:7" x14ac:dyDescent="0.35">
      <c r="B411" s="19">
        <v>71</v>
      </c>
      <c r="C411" t="s">
        <v>36</v>
      </c>
      <c r="D411" s="19" t="s">
        <v>432</v>
      </c>
    </row>
    <row r="412" spans="2:7" x14ac:dyDescent="0.35">
      <c r="B412" s="19">
        <v>72</v>
      </c>
      <c r="C412" t="s">
        <v>32</v>
      </c>
      <c r="D412" s="19" t="s">
        <v>433</v>
      </c>
      <c r="F412" s="19" t="s">
        <v>434</v>
      </c>
      <c r="G412" s="19" t="s">
        <v>434</v>
      </c>
    </row>
    <row r="413" spans="2:7" x14ac:dyDescent="0.35">
      <c r="B413" s="19">
        <v>72</v>
      </c>
      <c r="C413" t="s">
        <v>32</v>
      </c>
      <c r="D413" s="19" t="s">
        <v>435</v>
      </c>
      <c r="E413" s="20"/>
      <c r="F413" s="19" t="s">
        <v>434</v>
      </c>
      <c r="G413" s="19" t="s">
        <v>434</v>
      </c>
    </row>
    <row r="414" spans="2:7" x14ac:dyDescent="0.35">
      <c r="B414" s="19">
        <v>72</v>
      </c>
      <c r="C414" t="s">
        <v>32</v>
      </c>
      <c r="D414" s="19" t="s">
        <v>396</v>
      </c>
      <c r="E414" s="20"/>
    </row>
    <row r="415" spans="2:7" x14ac:dyDescent="0.35">
      <c r="B415" s="19">
        <v>72</v>
      </c>
      <c r="C415" t="s">
        <v>4</v>
      </c>
      <c r="D415" t="s">
        <v>436</v>
      </c>
    </row>
    <row r="416" spans="2:7" x14ac:dyDescent="0.35">
      <c r="B416" s="19">
        <v>72</v>
      </c>
      <c r="C416" t="s">
        <v>79</v>
      </c>
      <c r="D416" s="19" t="s">
        <v>437</v>
      </c>
    </row>
    <row r="417" spans="2:8" x14ac:dyDescent="0.35">
      <c r="B417" s="19">
        <v>72</v>
      </c>
      <c r="C417" t="s">
        <v>4</v>
      </c>
      <c r="D417" s="20" t="s">
        <v>438</v>
      </c>
    </row>
    <row r="418" spans="2:8" x14ac:dyDescent="0.35">
      <c r="B418" s="19">
        <v>72</v>
      </c>
      <c r="C418" t="s">
        <v>6</v>
      </c>
      <c r="D418" s="20" t="s">
        <v>389</v>
      </c>
    </row>
    <row r="419" spans="2:8" x14ac:dyDescent="0.35">
      <c r="B419" s="19">
        <v>72</v>
      </c>
      <c r="C419" t="s">
        <v>79</v>
      </c>
      <c r="D419" t="s">
        <v>439</v>
      </c>
    </row>
    <row r="420" spans="2:8" x14ac:dyDescent="0.35">
      <c r="B420" s="19">
        <v>72</v>
      </c>
      <c r="C420" t="s">
        <v>6</v>
      </c>
      <c r="D420" t="s">
        <v>440</v>
      </c>
    </row>
    <row r="421" spans="2:8" x14ac:dyDescent="0.35">
      <c r="B421" s="19">
        <v>72</v>
      </c>
      <c r="C421" t="s">
        <v>36</v>
      </c>
      <c r="D421" s="19" t="s">
        <v>441</v>
      </c>
    </row>
    <row r="422" spans="2:8" x14ac:dyDescent="0.35">
      <c r="B422" s="19">
        <v>73</v>
      </c>
      <c r="C422" t="s">
        <v>32</v>
      </c>
      <c r="D422" s="19" t="s">
        <v>442</v>
      </c>
      <c r="H422" s="19"/>
    </row>
    <row r="423" spans="2:8" x14ac:dyDescent="0.35">
      <c r="B423" s="19">
        <v>73</v>
      </c>
      <c r="C423" t="s">
        <v>32</v>
      </c>
      <c r="D423" s="19" t="s">
        <v>443</v>
      </c>
      <c r="G423" s="19"/>
      <c r="H423" s="19"/>
    </row>
    <row r="424" spans="2:8" x14ac:dyDescent="0.35">
      <c r="B424" s="19">
        <v>73</v>
      </c>
      <c r="C424" t="s">
        <v>32</v>
      </c>
      <c r="D424" s="19" t="s">
        <v>444</v>
      </c>
      <c r="G424" s="19"/>
    </row>
    <row r="425" spans="2:8" x14ac:dyDescent="0.35">
      <c r="B425" s="19">
        <v>73</v>
      </c>
      <c r="C425" t="s">
        <v>32</v>
      </c>
      <c r="D425" s="19" t="s">
        <v>445</v>
      </c>
      <c r="G425" s="19"/>
      <c r="H425" s="19"/>
    </row>
    <row r="426" spans="2:8" x14ac:dyDescent="0.35">
      <c r="B426" s="19">
        <v>73</v>
      </c>
      <c r="C426" t="s">
        <v>4</v>
      </c>
      <c r="D426" t="s">
        <v>446</v>
      </c>
    </row>
    <row r="427" spans="2:8" x14ac:dyDescent="0.35">
      <c r="B427" s="19">
        <v>73</v>
      </c>
      <c r="C427" t="s">
        <v>4</v>
      </c>
      <c r="D427" t="s">
        <v>447</v>
      </c>
    </row>
    <row r="428" spans="2:8" x14ac:dyDescent="0.35">
      <c r="B428" s="19">
        <v>73</v>
      </c>
      <c r="C428" t="s">
        <v>79</v>
      </c>
      <c r="D428" s="19" t="s">
        <v>448</v>
      </c>
    </row>
    <row r="429" spans="2:8" x14ac:dyDescent="0.35">
      <c r="B429" s="19">
        <v>73</v>
      </c>
      <c r="C429" t="s">
        <v>6</v>
      </c>
      <c r="D429" s="19" t="s">
        <v>449</v>
      </c>
    </row>
    <row r="430" spans="2:8" x14ac:dyDescent="0.35">
      <c r="B430" s="19">
        <v>73</v>
      </c>
      <c r="C430" t="s">
        <v>79</v>
      </c>
      <c r="D430" t="s">
        <v>450</v>
      </c>
    </row>
    <row r="431" spans="2:8" x14ac:dyDescent="0.35">
      <c r="B431" s="19">
        <v>73</v>
      </c>
      <c r="C431" t="s">
        <v>6</v>
      </c>
      <c r="D431" t="s">
        <v>451</v>
      </c>
    </row>
    <row r="432" spans="2:8" x14ac:dyDescent="0.35">
      <c r="B432" s="19">
        <v>73</v>
      </c>
      <c r="C432" t="s">
        <v>36</v>
      </c>
      <c r="D432" s="19" t="s">
        <v>452</v>
      </c>
    </row>
    <row r="433" spans="2:8" x14ac:dyDescent="0.35">
      <c r="B433" s="19">
        <v>74</v>
      </c>
      <c r="C433" t="s">
        <v>32</v>
      </c>
      <c r="D433" s="19" t="s">
        <v>453</v>
      </c>
      <c r="G433" s="19"/>
      <c r="H433" s="19"/>
    </row>
    <row r="434" spans="2:8" x14ac:dyDescent="0.35">
      <c r="B434" s="19">
        <v>74</v>
      </c>
      <c r="C434" t="s">
        <v>32</v>
      </c>
      <c r="D434" s="19" t="s">
        <v>454</v>
      </c>
      <c r="G434" s="19"/>
      <c r="H434" s="19"/>
    </row>
    <row r="435" spans="2:8" x14ac:dyDescent="0.35">
      <c r="B435" s="19">
        <v>74</v>
      </c>
      <c r="C435" t="s">
        <v>32</v>
      </c>
      <c r="D435" s="19" t="s">
        <v>455</v>
      </c>
    </row>
    <row r="436" spans="2:8" x14ac:dyDescent="0.35">
      <c r="B436" s="19">
        <v>74</v>
      </c>
      <c r="C436" t="s">
        <v>32</v>
      </c>
      <c r="D436" s="19" t="s">
        <v>456</v>
      </c>
    </row>
    <row r="437" spans="2:8" x14ac:dyDescent="0.35">
      <c r="B437" s="19">
        <v>74</v>
      </c>
      <c r="C437" t="s">
        <v>4</v>
      </c>
      <c r="D437" t="s">
        <v>287</v>
      </c>
    </row>
    <row r="438" spans="2:8" x14ac:dyDescent="0.35">
      <c r="B438" s="19">
        <v>74</v>
      </c>
      <c r="C438" t="s">
        <v>79</v>
      </c>
      <c r="D438" s="19" t="s">
        <v>457</v>
      </c>
      <c r="E438" s="19" t="s">
        <v>434</v>
      </c>
    </row>
    <row r="439" spans="2:8" x14ac:dyDescent="0.35">
      <c r="B439" s="19">
        <v>74</v>
      </c>
      <c r="C439" t="s">
        <v>6</v>
      </c>
      <c r="D439" t="s">
        <v>389</v>
      </c>
    </row>
    <row r="440" spans="2:8" x14ac:dyDescent="0.35">
      <c r="B440" s="19">
        <v>74</v>
      </c>
      <c r="C440" t="s">
        <v>6</v>
      </c>
      <c r="D440" t="s">
        <v>458</v>
      </c>
    </row>
    <row r="441" spans="2:8" x14ac:dyDescent="0.35">
      <c r="B441" s="19">
        <v>74</v>
      </c>
      <c r="C441" t="s">
        <v>79</v>
      </c>
      <c r="D441" t="s">
        <v>459</v>
      </c>
    </row>
    <row r="442" spans="2:8" x14ac:dyDescent="0.35">
      <c r="B442" s="19">
        <v>74</v>
      </c>
      <c r="C442" t="s">
        <v>6</v>
      </c>
      <c r="D442" t="s">
        <v>460</v>
      </c>
    </row>
    <row r="443" spans="2:8" x14ac:dyDescent="0.35">
      <c r="B443" s="19">
        <v>74</v>
      </c>
      <c r="C443" t="s">
        <v>36</v>
      </c>
      <c r="D443" s="19" t="s">
        <v>461</v>
      </c>
    </row>
    <row r="444" spans="2:8" x14ac:dyDescent="0.35">
      <c r="B444" s="19">
        <v>75</v>
      </c>
      <c r="C444" t="s">
        <v>32</v>
      </c>
      <c r="D444" s="19" t="s">
        <v>462</v>
      </c>
    </row>
    <row r="445" spans="2:8" x14ac:dyDescent="0.35">
      <c r="B445" s="19">
        <v>75</v>
      </c>
      <c r="C445" t="s">
        <v>32</v>
      </c>
      <c r="D445" s="19" t="s">
        <v>463</v>
      </c>
    </row>
    <row r="446" spans="2:8" x14ac:dyDescent="0.35">
      <c r="B446" s="19">
        <v>75</v>
      </c>
      <c r="C446" t="s">
        <v>32</v>
      </c>
      <c r="D446" s="19" t="s">
        <v>464</v>
      </c>
    </row>
    <row r="447" spans="2:8" x14ac:dyDescent="0.35">
      <c r="B447" s="19">
        <v>75</v>
      </c>
      <c r="C447" t="s">
        <v>32</v>
      </c>
      <c r="D447" s="19" t="s">
        <v>465</v>
      </c>
    </row>
    <row r="448" spans="2:8" x14ac:dyDescent="0.35">
      <c r="B448" s="19">
        <v>75</v>
      </c>
      <c r="C448" t="s">
        <v>4</v>
      </c>
      <c r="D448" t="s">
        <v>466</v>
      </c>
      <c r="E448" s="19"/>
    </row>
    <row r="449" spans="2:6" x14ac:dyDescent="0.35">
      <c r="B449" s="19">
        <v>75</v>
      </c>
      <c r="C449" t="s">
        <v>79</v>
      </c>
      <c r="D449" s="19" t="s">
        <v>457</v>
      </c>
      <c r="E449" s="19"/>
    </row>
    <row r="450" spans="2:6" x14ac:dyDescent="0.35">
      <c r="B450" s="19">
        <v>75</v>
      </c>
      <c r="C450" t="s">
        <v>6</v>
      </c>
      <c r="D450" t="s">
        <v>467</v>
      </c>
    </row>
    <row r="451" spans="2:6" x14ac:dyDescent="0.35">
      <c r="B451" s="19">
        <v>75</v>
      </c>
      <c r="C451" t="s">
        <v>4</v>
      </c>
      <c r="D451" t="s">
        <v>466</v>
      </c>
    </row>
    <row r="452" spans="2:6" x14ac:dyDescent="0.35">
      <c r="B452" s="19">
        <v>75</v>
      </c>
      <c r="C452" t="s">
        <v>79</v>
      </c>
      <c r="D452" t="s">
        <v>468</v>
      </c>
    </row>
    <row r="453" spans="2:6" x14ac:dyDescent="0.35">
      <c r="B453" s="19">
        <v>75</v>
      </c>
      <c r="C453" t="s">
        <v>6</v>
      </c>
      <c r="D453" t="s">
        <v>469</v>
      </c>
    </row>
    <row r="454" spans="2:6" x14ac:dyDescent="0.35">
      <c r="B454" s="19">
        <v>75</v>
      </c>
      <c r="C454" t="s">
        <v>36</v>
      </c>
      <c r="D454" s="19" t="s">
        <v>470</v>
      </c>
    </row>
    <row r="455" spans="2:6" x14ac:dyDescent="0.35">
      <c r="B455">
        <v>76</v>
      </c>
      <c r="C455" t="s">
        <v>32</v>
      </c>
      <c r="D455" s="19" t="s">
        <v>471</v>
      </c>
    </row>
    <row r="456" spans="2:6" x14ac:dyDescent="0.35">
      <c r="B456">
        <v>76</v>
      </c>
      <c r="C456" t="s">
        <v>32</v>
      </c>
      <c r="D456" s="19" t="s">
        <v>472</v>
      </c>
    </row>
    <row r="457" spans="2:6" x14ac:dyDescent="0.35">
      <c r="B457">
        <v>76</v>
      </c>
      <c r="C457" t="s">
        <v>32</v>
      </c>
      <c r="D457" s="19" t="s">
        <v>473</v>
      </c>
    </row>
    <row r="458" spans="2:6" x14ac:dyDescent="0.35">
      <c r="B458">
        <v>76</v>
      </c>
      <c r="C458" t="s">
        <v>4</v>
      </c>
      <c r="D458" t="s">
        <v>474</v>
      </c>
      <c r="E458" s="19"/>
      <c r="F458" s="19"/>
    </row>
    <row r="459" spans="2:6" x14ac:dyDescent="0.35">
      <c r="B459">
        <v>76</v>
      </c>
      <c r="C459" t="s">
        <v>6</v>
      </c>
      <c r="D459" s="19" t="s">
        <v>475</v>
      </c>
      <c r="E459" s="19"/>
      <c r="F459" s="19"/>
    </row>
    <row r="460" spans="2:6" x14ac:dyDescent="0.35">
      <c r="B460">
        <v>76</v>
      </c>
      <c r="C460" t="s">
        <v>79</v>
      </c>
      <c r="D460" t="s">
        <v>476</v>
      </c>
    </row>
    <row r="461" spans="2:6" x14ac:dyDescent="0.35">
      <c r="B461">
        <v>76</v>
      </c>
      <c r="C461" t="s">
        <v>6</v>
      </c>
      <c r="D461" s="20" t="s">
        <v>349</v>
      </c>
    </row>
    <row r="462" spans="2:6" x14ac:dyDescent="0.35">
      <c r="B462">
        <v>76</v>
      </c>
      <c r="C462" t="s">
        <v>36</v>
      </c>
      <c r="D462" s="19" t="s">
        <v>477</v>
      </c>
    </row>
    <row r="463" spans="2:6" x14ac:dyDescent="0.35">
      <c r="B463">
        <v>77</v>
      </c>
      <c r="C463" t="s">
        <v>32</v>
      </c>
      <c r="D463" s="19" t="s">
        <v>478</v>
      </c>
    </row>
    <row r="464" spans="2:6" x14ac:dyDescent="0.35">
      <c r="B464">
        <v>77</v>
      </c>
      <c r="C464" t="s">
        <v>32</v>
      </c>
      <c r="D464" s="19" t="s">
        <v>479</v>
      </c>
    </row>
    <row r="465" spans="2:4" x14ac:dyDescent="0.35">
      <c r="B465">
        <v>77</v>
      </c>
      <c r="C465" t="s">
        <v>32</v>
      </c>
      <c r="D465" s="19" t="s">
        <v>480</v>
      </c>
    </row>
    <row r="466" spans="2:4" x14ac:dyDescent="0.35">
      <c r="B466">
        <v>77</v>
      </c>
      <c r="C466" t="s">
        <v>32</v>
      </c>
      <c r="D466" s="19" t="s">
        <v>380</v>
      </c>
    </row>
    <row r="467" spans="2:4" x14ac:dyDescent="0.35">
      <c r="B467">
        <v>77</v>
      </c>
      <c r="C467" t="s">
        <v>32</v>
      </c>
      <c r="D467" t="s">
        <v>481</v>
      </c>
    </row>
    <row r="468" spans="2:4" x14ac:dyDescent="0.35">
      <c r="B468">
        <v>77</v>
      </c>
      <c r="C468" t="s">
        <v>6</v>
      </c>
      <c r="D468" s="19" t="s">
        <v>467</v>
      </c>
    </row>
    <row r="469" spans="2:4" x14ac:dyDescent="0.35">
      <c r="B469">
        <v>77</v>
      </c>
      <c r="C469" t="s">
        <v>79</v>
      </c>
      <c r="D469" t="s">
        <v>482</v>
      </c>
    </row>
    <row r="470" spans="2:4" x14ac:dyDescent="0.35">
      <c r="B470">
        <v>77</v>
      </c>
      <c r="C470" t="s">
        <v>6</v>
      </c>
      <c r="D470" s="20" t="s">
        <v>483</v>
      </c>
    </row>
    <row r="471" spans="2:4" x14ac:dyDescent="0.35">
      <c r="B471">
        <v>77</v>
      </c>
      <c r="C471" t="s">
        <v>36</v>
      </c>
      <c r="D471" s="2" t="s">
        <v>484</v>
      </c>
    </row>
    <row r="472" spans="2:4" x14ac:dyDescent="0.35">
      <c r="B472">
        <v>78</v>
      </c>
      <c r="C472" t="s">
        <v>32</v>
      </c>
      <c r="D472" s="19" t="s">
        <v>485</v>
      </c>
    </row>
    <row r="473" spans="2:4" x14ac:dyDescent="0.35">
      <c r="B473">
        <v>78</v>
      </c>
      <c r="C473" t="s">
        <v>32</v>
      </c>
      <c r="D473" s="19" t="s">
        <v>486</v>
      </c>
    </row>
    <row r="474" spans="2:4" x14ac:dyDescent="0.35">
      <c r="B474">
        <v>78</v>
      </c>
      <c r="C474" t="s">
        <v>32</v>
      </c>
      <c r="D474" s="19" t="s">
        <v>487</v>
      </c>
    </row>
    <row r="475" spans="2:4" x14ac:dyDescent="0.35">
      <c r="B475">
        <v>78</v>
      </c>
      <c r="C475" t="s">
        <v>32</v>
      </c>
      <c r="D475" s="19" t="s">
        <v>488</v>
      </c>
    </row>
    <row r="476" spans="2:4" x14ac:dyDescent="0.35">
      <c r="B476">
        <v>78</v>
      </c>
      <c r="C476" t="s">
        <v>4</v>
      </c>
      <c r="D476" t="s">
        <v>489</v>
      </c>
    </row>
    <row r="477" spans="2:4" x14ac:dyDescent="0.35">
      <c r="B477">
        <v>78</v>
      </c>
      <c r="C477" t="s">
        <v>79</v>
      </c>
      <c r="D477" s="19" t="s">
        <v>490</v>
      </c>
    </row>
    <row r="478" spans="2:4" x14ac:dyDescent="0.35">
      <c r="B478">
        <v>78</v>
      </c>
      <c r="C478" t="s">
        <v>6</v>
      </c>
      <c r="D478" s="19" t="s">
        <v>389</v>
      </c>
    </row>
    <row r="479" spans="2:4" x14ac:dyDescent="0.35">
      <c r="B479">
        <v>78</v>
      </c>
      <c r="C479" t="s">
        <v>79</v>
      </c>
      <c r="D479" t="s">
        <v>491</v>
      </c>
    </row>
    <row r="480" spans="2:4" x14ac:dyDescent="0.35">
      <c r="B480">
        <v>78</v>
      </c>
      <c r="C480" t="s">
        <v>6</v>
      </c>
      <c r="D480" t="s">
        <v>492</v>
      </c>
    </row>
    <row r="481" spans="2:4" x14ac:dyDescent="0.35">
      <c r="B481">
        <v>78</v>
      </c>
      <c r="C481" t="s">
        <v>36</v>
      </c>
      <c r="D481" s="2" t="s">
        <v>493</v>
      </c>
    </row>
    <row r="482" spans="2:4" x14ac:dyDescent="0.35">
      <c r="B482">
        <v>79</v>
      </c>
      <c r="C482" t="s">
        <v>32</v>
      </c>
      <c r="D482" s="19" t="s">
        <v>494</v>
      </c>
    </row>
    <row r="483" spans="2:4" x14ac:dyDescent="0.35">
      <c r="B483">
        <v>79</v>
      </c>
      <c r="C483" t="s">
        <v>32</v>
      </c>
      <c r="D483" s="19" t="s">
        <v>495</v>
      </c>
    </row>
    <row r="484" spans="2:4" x14ac:dyDescent="0.35">
      <c r="B484">
        <v>79</v>
      </c>
      <c r="C484" t="s">
        <v>32</v>
      </c>
      <c r="D484" s="19" t="s">
        <v>496</v>
      </c>
    </row>
    <row r="485" spans="2:4" x14ac:dyDescent="0.35">
      <c r="B485">
        <v>79</v>
      </c>
      <c r="C485" t="s">
        <v>4</v>
      </c>
      <c r="D485" t="s">
        <v>497</v>
      </c>
    </row>
    <row r="486" spans="2:4" x14ac:dyDescent="0.35">
      <c r="B486">
        <v>79</v>
      </c>
      <c r="C486" t="s">
        <v>79</v>
      </c>
      <c r="D486" t="s">
        <v>457</v>
      </c>
    </row>
    <row r="487" spans="2:4" x14ac:dyDescent="0.35">
      <c r="B487">
        <v>79</v>
      </c>
      <c r="C487" t="s">
        <v>6</v>
      </c>
      <c r="D487" t="s">
        <v>498</v>
      </c>
    </row>
    <row r="488" spans="2:4" x14ac:dyDescent="0.35">
      <c r="B488">
        <v>79</v>
      </c>
      <c r="C488" t="s">
        <v>79</v>
      </c>
      <c r="D488" t="s">
        <v>499</v>
      </c>
    </row>
    <row r="489" spans="2:4" x14ac:dyDescent="0.35">
      <c r="B489">
        <v>79</v>
      </c>
      <c r="C489" t="s">
        <v>6</v>
      </c>
      <c r="D489" s="20" t="s">
        <v>349</v>
      </c>
    </row>
    <row r="490" spans="2:4" x14ac:dyDescent="0.35">
      <c r="B490">
        <v>79</v>
      </c>
      <c r="C490" t="s">
        <v>36</v>
      </c>
      <c r="D490" s="2" t="s">
        <v>500</v>
      </c>
    </row>
    <row r="491" spans="2:4" x14ac:dyDescent="0.35">
      <c r="B491">
        <v>80</v>
      </c>
      <c r="C491" t="s">
        <v>32</v>
      </c>
      <c r="D491" s="19" t="s">
        <v>501</v>
      </c>
    </row>
    <row r="492" spans="2:4" x14ac:dyDescent="0.35">
      <c r="B492">
        <v>80</v>
      </c>
      <c r="C492" t="s">
        <v>32</v>
      </c>
      <c r="D492" s="19" t="s">
        <v>502</v>
      </c>
    </row>
    <row r="493" spans="2:4" x14ac:dyDescent="0.35">
      <c r="B493">
        <v>80</v>
      </c>
      <c r="C493" t="s">
        <v>32</v>
      </c>
      <c r="D493" s="19" t="s">
        <v>503</v>
      </c>
    </row>
    <row r="494" spans="2:4" x14ac:dyDescent="0.35">
      <c r="B494">
        <v>80</v>
      </c>
      <c r="C494" t="s">
        <v>32</v>
      </c>
      <c r="D494" s="19" t="s">
        <v>504</v>
      </c>
    </row>
    <row r="495" spans="2:4" x14ac:dyDescent="0.35">
      <c r="B495">
        <v>80</v>
      </c>
      <c r="C495" t="s">
        <v>36</v>
      </c>
      <c r="D495" s="2" t="s">
        <v>505</v>
      </c>
    </row>
    <row r="496" spans="2:4" x14ac:dyDescent="0.35">
      <c r="B496">
        <v>80</v>
      </c>
      <c r="C496" t="s">
        <v>4</v>
      </c>
      <c r="D496" t="s">
        <v>506</v>
      </c>
    </row>
    <row r="497" spans="2:4" x14ac:dyDescent="0.35">
      <c r="B497">
        <v>80</v>
      </c>
      <c r="C497" t="s">
        <v>79</v>
      </c>
      <c r="D497" t="s">
        <v>507</v>
      </c>
    </row>
    <row r="498" spans="2:4" x14ac:dyDescent="0.35">
      <c r="B498">
        <v>80</v>
      </c>
      <c r="C498" t="s">
        <v>6</v>
      </c>
      <c r="D498" s="20" t="s">
        <v>508</v>
      </c>
    </row>
    <row r="499" spans="2:4" x14ac:dyDescent="0.35">
      <c r="B499">
        <v>80</v>
      </c>
      <c r="C499" t="s">
        <v>4</v>
      </c>
      <c r="D499" t="s">
        <v>509</v>
      </c>
    </row>
    <row r="500" spans="2:4" x14ac:dyDescent="0.35">
      <c r="B500">
        <v>80</v>
      </c>
      <c r="C500" t="s">
        <v>4</v>
      </c>
      <c r="D500" t="s">
        <v>510</v>
      </c>
    </row>
    <row r="501" spans="2:4" x14ac:dyDescent="0.35">
      <c r="B501">
        <v>80</v>
      </c>
      <c r="C501" t="s">
        <v>4</v>
      </c>
      <c r="D501" t="s">
        <v>511</v>
      </c>
    </row>
    <row r="502" spans="2:4" x14ac:dyDescent="0.35">
      <c r="B502">
        <v>81</v>
      </c>
      <c r="C502" t="s">
        <v>68</v>
      </c>
      <c r="D502" s="17" t="s">
        <v>512</v>
      </c>
    </row>
    <row r="503" spans="2:4" x14ac:dyDescent="0.35">
      <c r="B503">
        <v>81</v>
      </c>
      <c r="C503" t="s">
        <v>36</v>
      </c>
      <c r="D503" s="2" t="s">
        <v>513</v>
      </c>
    </row>
    <row r="504" spans="2:4" x14ac:dyDescent="0.35">
      <c r="B504">
        <v>82</v>
      </c>
      <c r="C504" t="s">
        <v>36</v>
      </c>
      <c r="D504" s="2" t="s">
        <v>514</v>
      </c>
    </row>
    <row r="505" spans="2:4" x14ac:dyDescent="0.35">
      <c r="B505">
        <v>83</v>
      </c>
      <c r="C505" t="s">
        <v>36</v>
      </c>
      <c r="D505" s="2" t="s">
        <v>515</v>
      </c>
    </row>
    <row r="506" spans="2:4" x14ac:dyDescent="0.35">
      <c r="B506">
        <v>81</v>
      </c>
      <c r="C506" t="s">
        <v>4</v>
      </c>
      <c r="D506" t="s">
        <v>516</v>
      </c>
    </row>
    <row r="507" spans="2:4" x14ac:dyDescent="0.35">
      <c r="B507">
        <v>81</v>
      </c>
      <c r="C507" t="s">
        <v>4</v>
      </c>
      <c r="D507" t="s">
        <v>517</v>
      </c>
    </row>
    <row r="508" spans="2:4" x14ac:dyDescent="0.35">
      <c r="B508">
        <v>81</v>
      </c>
      <c r="C508" t="s">
        <v>4</v>
      </c>
      <c r="D508" t="s">
        <v>518</v>
      </c>
    </row>
    <row r="509" spans="2:4" x14ac:dyDescent="0.35">
      <c r="B509">
        <v>81</v>
      </c>
      <c r="C509" t="s">
        <v>4</v>
      </c>
      <c r="D509" s="2" t="s">
        <v>519</v>
      </c>
    </row>
    <row r="510" spans="2:4" x14ac:dyDescent="0.35">
      <c r="B510">
        <v>81</v>
      </c>
      <c r="C510" t="s">
        <v>79</v>
      </c>
      <c r="D510" t="s">
        <v>520</v>
      </c>
    </row>
    <row r="511" spans="2:4" x14ac:dyDescent="0.35">
      <c r="B511">
        <v>82</v>
      </c>
      <c r="C511" t="s">
        <v>79</v>
      </c>
      <c r="D511" t="s">
        <v>521</v>
      </c>
    </row>
    <row r="512" spans="2:4" x14ac:dyDescent="0.35">
      <c r="B512">
        <v>83</v>
      </c>
      <c r="C512" t="s">
        <v>79</v>
      </c>
      <c r="D512" s="18" t="s">
        <v>522</v>
      </c>
    </row>
    <row r="513" spans="2:4" x14ac:dyDescent="0.35">
      <c r="B513">
        <v>81</v>
      </c>
      <c r="C513" t="s">
        <v>6</v>
      </c>
      <c r="D513" t="s">
        <v>523</v>
      </c>
    </row>
    <row r="514" spans="2:4" x14ac:dyDescent="0.35">
      <c r="B514">
        <v>81</v>
      </c>
      <c r="C514" t="s">
        <v>6</v>
      </c>
      <c r="D514" t="s">
        <v>524</v>
      </c>
    </row>
    <row r="515" spans="2:4" x14ac:dyDescent="0.35">
      <c r="B515">
        <v>81</v>
      </c>
      <c r="C515" t="s">
        <v>6</v>
      </c>
      <c r="D515" t="s">
        <v>525</v>
      </c>
    </row>
  </sheetData>
  <autoFilter ref="A1:AE167" xr:uid="{72ADCC2B-C3FF-4559-9989-A11F71D2FD2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02F87-3653-434A-96B4-71B042621401}">
  <dimension ref="A1:AM615"/>
  <sheetViews>
    <sheetView tabSelected="1" zoomScale="55" zoomScaleNormal="55" workbookViewId="0">
      <pane ySplit="1" topLeftCell="A19" activePane="bottomLeft" state="frozen"/>
      <selection activeCell="D1" sqref="D1"/>
      <selection pane="bottomLeft" activeCell="D31" sqref="D31"/>
    </sheetView>
  </sheetViews>
  <sheetFormatPr defaultRowHeight="14.5" x14ac:dyDescent="0.35"/>
  <cols>
    <col min="1" max="1" width="16.54296875" customWidth="1"/>
    <col min="2" max="2" width="36.54296875" bestFit="1" customWidth="1"/>
    <col min="3" max="3" width="33.7265625" customWidth="1"/>
    <col min="4" max="4" width="86.26953125" style="2" customWidth="1"/>
    <col min="5" max="5" width="29.7265625" customWidth="1"/>
    <col min="6" max="6" width="16.453125" customWidth="1"/>
    <col min="7" max="7" width="16.54296875" customWidth="1"/>
    <col min="8" max="8" width="23.81640625" customWidth="1"/>
    <col min="9" max="9" width="23.453125" customWidth="1"/>
    <col min="10" max="10" width="27.54296875" customWidth="1"/>
    <col min="11" max="11" width="22.453125" customWidth="1"/>
    <col min="12" max="12" width="27.54296875" customWidth="1"/>
    <col min="13" max="17" width="22.453125" customWidth="1"/>
    <col min="18" max="18" width="24.1796875" customWidth="1"/>
    <col min="19" max="19" width="25.81640625" customWidth="1"/>
    <col min="20" max="20" width="27.26953125" customWidth="1"/>
    <col min="21" max="38" width="24.453125" customWidth="1"/>
    <col min="39" max="39" width="102.7265625" customWidth="1"/>
  </cols>
  <sheetData>
    <row r="1" spans="1:39" s="1" customFormat="1" x14ac:dyDescent="0.35">
      <c r="A1" s="29" t="s">
        <v>0</v>
      </c>
      <c r="B1" s="30" t="s">
        <v>1</v>
      </c>
      <c r="C1" s="30" t="s">
        <v>2</v>
      </c>
      <c r="D1" s="30" t="s">
        <v>3</v>
      </c>
      <c r="E1" s="30" t="s">
        <v>4</v>
      </c>
      <c r="F1" s="30" t="s">
        <v>5</v>
      </c>
      <c r="G1" s="30" t="s">
        <v>6</v>
      </c>
      <c r="H1" s="30" t="s">
        <v>7</v>
      </c>
      <c r="I1" s="30" t="s">
        <v>8</v>
      </c>
      <c r="J1" s="30" t="s">
        <v>9</v>
      </c>
      <c r="K1" s="30" t="s">
        <v>10</v>
      </c>
      <c r="L1" s="31" t="s">
        <v>11</v>
      </c>
      <c r="M1" s="31" t="s">
        <v>12</v>
      </c>
      <c r="N1" s="31" t="s">
        <v>526</v>
      </c>
      <c r="O1" s="31" t="s">
        <v>527</v>
      </c>
      <c r="P1" s="31" t="s">
        <v>528</v>
      </c>
      <c r="Q1" s="31" t="s">
        <v>529</v>
      </c>
      <c r="R1" s="30" t="s">
        <v>13</v>
      </c>
      <c r="S1" s="30" t="s">
        <v>14</v>
      </c>
      <c r="T1" s="30" t="s">
        <v>15</v>
      </c>
      <c r="U1" s="30" t="s">
        <v>16</v>
      </c>
      <c r="V1" s="30" t="s">
        <v>17</v>
      </c>
      <c r="W1" s="30" t="s">
        <v>18</v>
      </c>
      <c r="X1" s="30" t="s">
        <v>530</v>
      </c>
      <c r="Y1" s="30" t="s">
        <v>531</v>
      </c>
      <c r="Z1" s="30" t="s">
        <v>532</v>
      </c>
      <c r="AA1" s="30" t="s">
        <v>533</v>
      </c>
      <c r="AB1" s="30" t="s">
        <v>19</v>
      </c>
      <c r="AC1" s="30" t="s">
        <v>20</v>
      </c>
      <c r="AD1" s="30" t="s">
        <v>21</v>
      </c>
      <c r="AE1" s="30" t="s">
        <v>22</v>
      </c>
      <c r="AF1" s="30" t="s">
        <v>23</v>
      </c>
      <c r="AG1" s="30" t="s">
        <v>24</v>
      </c>
      <c r="AH1" s="30" t="s">
        <v>25</v>
      </c>
      <c r="AI1" s="30" t="s">
        <v>26</v>
      </c>
      <c r="AJ1" s="30" t="s">
        <v>27</v>
      </c>
      <c r="AK1" s="30" t="s">
        <v>28</v>
      </c>
      <c r="AL1" s="30" t="s">
        <v>29</v>
      </c>
      <c r="AM1" s="30" t="s">
        <v>30</v>
      </c>
    </row>
    <row r="2" spans="1:39" ht="29" x14ac:dyDescent="0.35">
      <c r="A2" s="27" t="s">
        <v>31</v>
      </c>
      <c r="B2" s="32">
        <v>2</v>
      </c>
      <c r="C2" s="27" t="s">
        <v>32</v>
      </c>
      <c r="D2" s="32" t="s">
        <v>534</v>
      </c>
      <c r="E2" s="30"/>
      <c r="F2" s="30"/>
      <c r="G2" s="30"/>
      <c r="H2" s="30"/>
      <c r="I2" s="30"/>
      <c r="J2" s="30"/>
      <c r="K2" s="30"/>
      <c r="L2" s="31"/>
      <c r="M2" s="31"/>
      <c r="N2" s="31"/>
      <c r="O2" s="31"/>
      <c r="P2" s="31"/>
      <c r="Q2" s="31"/>
      <c r="R2" s="30"/>
      <c r="S2" s="30"/>
      <c r="T2" s="30"/>
      <c r="U2" s="30"/>
      <c r="V2" s="30"/>
      <c r="W2" s="30"/>
      <c r="X2" s="30"/>
      <c r="Y2" s="30"/>
      <c r="Z2" s="30"/>
      <c r="AA2" s="30"/>
      <c r="AB2" s="30"/>
      <c r="AC2" s="30"/>
      <c r="AD2" s="30"/>
      <c r="AE2" s="30"/>
      <c r="AF2" s="30"/>
      <c r="AG2" s="30"/>
      <c r="AH2" s="30"/>
      <c r="AI2" s="30"/>
      <c r="AJ2" s="30"/>
      <c r="AK2" s="30"/>
      <c r="AL2" s="30"/>
      <c r="AM2" s="30"/>
    </row>
    <row r="3" spans="1:39" x14ac:dyDescent="0.35">
      <c r="A3" s="27" t="s">
        <v>59</v>
      </c>
      <c r="B3" s="32">
        <v>2</v>
      </c>
      <c r="C3" s="27" t="s">
        <v>32</v>
      </c>
      <c r="D3" s="32" t="s">
        <v>535</v>
      </c>
      <c r="E3" s="30"/>
      <c r="F3" s="30"/>
      <c r="G3" s="30"/>
      <c r="H3" s="30"/>
      <c r="I3" s="30"/>
      <c r="J3" s="30"/>
      <c r="K3" s="30"/>
      <c r="L3" s="31"/>
      <c r="M3" s="31"/>
      <c r="N3" s="31"/>
      <c r="O3" s="31"/>
      <c r="P3" s="31"/>
      <c r="Q3" s="31"/>
      <c r="R3" s="30"/>
      <c r="S3" s="30"/>
      <c r="T3" s="30"/>
      <c r="U3" s="30"/>
      <c r="V3" s="30"/>
      <c r="W3" s="30"/>
      <c r="X3" s="30"/>
      <c r="Y3" s="30"/>
      <c r="Z3" s="30"/>
      <c r="AA3" s="30"/>
      <c r="AB3" s="40"/>
      <c r="AC3" s="40"/>
      <c r="AD3" s="30"/>
      <c r="AE3" s="30"/>
      <c r="AF3" s="30"/>
      <c r="AG3" s="30"/>
      <c r="AH3" s="30"/>
      <c r="AI3" s="30"/>
      <c r="AJ3" s="30"/>
      <c r="AK3" s="30"/>
      <c r="AL3" s="30"/>
      <c r="AM3" s="30"/>
    </row>
    <row r="4" spans="1:39" ht="72.5" x14ac:dyDescent="0.35">
      <c r="A4" s="27" t="s">
        <v>62</v>
      </c>
      <c r="B4" s="32">
        <v>2</v>
      </c>
      <c r="C4" s="27" t="s">
        <v>32</v>
      </c>
      <c r="D4" s="28" t="s">
        <v>536</v>
      </c>
      <c r="E4" s="27" t="str">
        <f>A15&amp; " "&amp;A16</f>
        <v>Ref-001 Ref-002</v>
      </c>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row>
    <row r="5" spans="1:39" x14ac:dyDescent="0.35">
      <c r="A5" s="27" t="s">
        <v>77</v>
      </c>
      <c r="B5" s="32">
        <v>2</v>
      </c>
      <c r="C5" s="27" t="s">
        <v>79</v>
      </c>
      <c r="D5" s="32" t="s">
        <v>537</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row>
    <row r="6" spans="1:39" x14ac:dyDescent="0.35">
      <c r="A6" s="27" t="s">
        <v>35</v>
      </c>
      <c r="B6" s="32">
        <v>2</v>
      </c>
      <c r="C6" s="32" t="s">
        <v>36</v>
      </c>
      <c r="D6" s="27" t="s">
        <v>37</v>
      </c>
      <c r="E6" s="27"/>
      <c r="F6" s="27" t="str">
        <f>A5</f>
        <v>Fn-001</v>
      </c>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row>
    <row r="7" spans="1:39" x14ac:dyDescent="0.35">
      <c r="A7" s="27" t="s">
        <v>38</v>
      </c>
      <c r="B7" s="32">
        <v>2</v>
      </c>
      <c r="C7" s="32" t="s">
        <v>36</v>
      </c>
      <c r="D7" s="27" t="s">
        <v>39</v>
      </c>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row>
    <row r="8" spans="1:39" x14ac:dyDescent="0.35">
      <c r="A8" s="27" t="s">
        <v>40</v>
      </c>
      <c r="B8" s="32">
        <v>2</v>
      </c>
      <c r="C8" s="32" t="s">
        <v>36</v>
      </c>
      <c r="D8" s="32" t="s">
        <v>41</v>
      </c>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row>
    <row r="9" spans="1:39" x14ac:dyDescent="0.35">
      <c r="A9" s="27" t="s">
        <v>42</v>
      </c>
      <c r="B9" s="32">
        <v>2</v>
      </c>
      <c r="C9" s="32" t="s">
        <v>36</v>
      </c>
      <c r="D9" s="27" t="s">
        <v>43</v>
      </c>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row>
    <row r="10" spans="1:39" x14ac:dyDescent="0.35">
      <c r="A10" s="27" t="s">
        <v>44</v>
      </c>
      <c r="B10" s="32">
        <v>2</v>
      </c>
      <c r="C10" s="32" t="s">
        <v>36</v>
      </c>
      <c r="D10" s="27" t="s">
        <v>45</v>
      </c>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row>
    <row r="11" spans="1:39" x14ac:dyDescent="0.35">
      <c r="A11" s="27" t="s">
        <v>46</v>
      </c>
      <c r="B11" s="32">
        <v>2</v>
      </c>
      <c r="C11" s="32" t="s">
        <v>36</v>
      </c>
      <c r="D11" s="27" t="s">
        <v>47</v>
      </c>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row>
    <row r="12" spans="1:39" x14ac:dyDescent="0.35">
      <c r="A12" s="27" t="s">
        <v>48</v>
      </c>
      <c r="B12" s="32">
        <v>2</v>
      </c>
      <c r="C12" s="32" t="s">
        <v>36</v>
      </c>
      <c r="D12" s="27" t="s">
        <v>49</v>
      </c>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row>
    <row r="13" spans="1:39" x14ac:dyDescent="0.35">
      <c r="A13" s="27" t="s">
        <v>50</v>
      </c>
      <c r="B13" s="32">
        <v>2</v>
      </c>
      <c r="C13" s="32" t="s">
        <v>36</v>
      </c>
      <c r="D13" s="27" t="s">
        <v>51</v>
      </c>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row>
    <row r="14" spans="1:39" x14ac:dyDescent="0.35">
      <c r="A14" s="27" t="s">
        <v>52</v>
      </c>
      <c r="B14" s="32">
        <v>2</v>
      </c>
      <c r="C14" s="32" t="s">
        <v>36</v>
      </c>
      <c r="D14" s="27" t="s">
        <v>53</v>
      </c>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row>
    <row r="15" spans="1:39" ht="29" x14ac:dyDescent="0.35">
      <c r="A15" s="27" t="s">
        <v>76</v>
      </c>
      <c r="B15" s="32">
        <v>3</v>
      </c>
      <c r="C15" s="32" t="s">
        <v>4</v>
      </c>
      <c r="D15" s="32" t="s">
        <v>538</v>
      </c>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row>
    <row r="16" spans="1:39" ht="29" x14ac:dyDescent="0.35">
      <c r="A16" s="27" t="s">
        <v>34</v>
      </c>
      <c r="B16" s="32">
        <v>3</v>
      </c>
      <c r="C16" s="32" t="s">
        <v>4</v>
      </c>
      <c r="D16" s="27" t="s">
        <v>54</v>
      </c>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row>
    <row r="17" spans="1:39" x14ac:dyDescent="0.35">
      <c r="A17" s="27" t="s">
        <v>55</v>
      </c>
      <c r="B17" s="32">
        <v>3</v>
      </c>
      <c r="C17" s="32" t="s">
        <v>6</v>
      </c>
      <c r="D17" s="27" t="s">
        <v>56</v>
      </c>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row>
    <row r="18" spans="1:39" x14ac:dyDescent="0.35">
      <c r="A18" s="27" t="s">
        <v>57</v>
      </c>
      <c r="B18" s="32">
        <v>4</v>
      </c>
      <c r="C18" s="32" t="s">
        <v>36</v>
      </c>
      <c r="D18" s="27" t="s">
        <v>58</v>
      </c>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row>
    <row r="19" spans="1:39" x14ac:dyDescent="0.35">
      <c r="A19" s="27" t="s">
        <v>188</v>
      </c>
      <c r="B19" s="32">
        <v>4</v>
      </c>
      <c r="C19" s="32" t="s">
        <v>32</v>
      </c>
      <c r="D19" s="32" t="s">
        <v>60</v>
      </c>
      <c r="E19" s="27"/>
      <c r="F19" s="27"/>
      <c r="G19" s="27"/>
      <c r="H19" s="27"/>
      <c r="I19" s="27"/>
      <c r="J19" s="27"/>
      <c r="K19" s="27"/>
      <c r="L19" s="27"/>
      <c r="M19" s="27"/>
      <c r="N19" s="27"/>
      <c r="O19" s="27"/>
      <c r="P19" s="27"/>
      <c r="Q19" s="27"/>
      <c r="R19" s="27"/>
      <c r="S19" s="27"/>
      <c r="T19" s="27"/>
      <c r="U19" s="27"/>
      <c r="V19" s="27"/>
      <c r="W19" s="27"/>
      <c r="X19" s="27"/>
      <c r="Y19" s="27"/>
      <c r="Z19" s="27"/>
      <c r="AA19" s="27"/>
      <c r="AB19" s="27" t="s">
        <v>57</v>
      </c>
      <c r="AC19" s="27" t="s">
        <v>61</v>
      </c>
      <c r="AD19" s="27"/>
      <c r="AE19" s="27"/>
      <c r="AF19" s="27"/>
      <c r="AG19" s="27"/>
      <c r="AH19" s="27"/>
      <c r="AI19" s="27"/>
      <c r="AJ19" s="27"/>
      <c r="AK19" s="27"/>
      <c r="AL19" s="27"/>
      <c r="AM19" s="27"/>
    </row>
    <row r="20" spans="1:39" x14ac:dyDescent="0.35">
      <c r="A20" s="27" t="s">
        <v>190</v>
      </c>
      <c r="B20" s="32">
        <v>4</v>
      </c>
      <c r="C20" s="32" t="s">
        <v>32</v>
      </c>
      <c r="D20" s="32" t="s">
        <v>539</v>
      </c>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spans="1:39" ht="29" x14ac:dyDescent="0.35">
      <c r="A21" s="27" t="s">
        <v>540</v>
      </c>
      <c r="B21" s="32">
        <v>4</v>
      </c>
      <c r="C21" s="32" t="s">
        <v>32</v>
      </c>
      <c r="D21" s="32" t="s">
        <v>541</v>
      </c>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spans="1:39" x14ac:dyDescent="0.35">
      <c r="A22" s="27" t="s">
        <v>542</v>
      </c>
      <c r="B22" s="32">
        <v>4</v>
      </c>
      <c r="C22" s="32" t="s">
        <v>32</v>
      </c>
      <c r="D22" s="32" t="s">
        <v>543</v>
      </c>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spans="1:39" ht="29" x14ac:dyDescent="0.35">
      <c r="A23" s="27" t="s">
        <v>544</v>
      </c>
      <c r="B23" s="32">
        <v>4</v>
      </c>
      <c r="C23" s="32" t="s">
        <v>32</v>
      </c>
      <c r="D23" s="32" t="s">
        <v>545</v>
      </c>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spans="1:39" x14ac:dyDescent="0.35">
      <c r="A24" s="27" t="s">
        <v>546</v>
      </c>
      <c r="B24" s="32">
        <v>4</v>
      </c>
      <c r="C24" s="32" t="s">
        <v>32</v>
      </c>
      <c r="D24" s="32" t="s">
        <v>547</v>
      </c>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spans="1:39" x14ac:dyDescent="0.35">
      <c r="A25" s="27" t="s">
        <v>548</v>
      </c>
      <c r="B25" s="32">
        <v>5</v>
      </c>
      <c r="C25" s="32" t="s">
        <v>32</v>
      </c>
      <c r="D25" s="32" t="s">
        <v>63</v>
      </c>
      <c r="E25" s="27"/>
      <c r="F25" s="27"/>
      <c r="G25" s="27"/>
      <c r="H25" s="27"/>
      <c r="I25" s="27"/>
      <c r="J25" s="27"/>
      <c r="K25" s="27"/>
      <c r="L25" s="27"/>
      <c r="M25" s="27"/>
      <c r="N25" s="27"/>
      <c r="O25" s="27"/>
      <c r="P25" s="27"/>
      <c r="Q25" s="27"/>
      <c r="R25" s="27"/>
      <c r="S25" s="27"/>
      <c r="T25" s="27"/>
      <c r="U25" s="27"/>
      <c r="V25" s="27"/>
      <c r="W25" s="27"/>
      <c r="X25" s="27"/>
      <c r="Y25" s="27"/>
      <c r="Z25" s="27"/>
      <c r="AA25" s="27"/>
      <c r="AB25" s="27" t="str">
        <f>A26</f>
        <v>Comp-011</v>
      </c>
      <c r="AC25" s="27" t="s">
        <v>61</v>
      </c>
      <c r="AD25" s="27"/>
      <c r="AE25" s="27"/>
      <c r="AF25" s="27"/>
      <c r="AG25" s="27"/>
      <c r="AH25" s="27"/>
      <c r="AI25" s="27"/>
      <c r="AJ25" s="27"/>
      <c r="AK25" s="27"/>
      <c r="AL25" s="27"/>
      <c r="AM25" s="27"/>
    </row>
    <row r="26" spans="1:39" x14ac:dyDescent="0.35">
      <c r="A26" s="27" t="s">
        <v>64</v>
      </c>
      <c r="B26" s="32">
        <v>5</v>
      </c>
      <c r="C26" s="32" t="s">
        <v>36</v>
      </c>
      <c r="D26" s="27" t="s">
        <v>66</v>
      </c>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spans="1:39" x14ac:dyDescent="0.35">
      <c r="A27" s="27" t="s">
        <v>67</v>
      </c>
      <c r="B27" s="32">
        <v>9</v>
      </c>
      <c r="C27" s="32" t="s">
        <v>68</v>
      </c>
      <c r="D27" s="33" t="s">
        <v>69</v>
      </c>
      <c r="E27" s="27" t="str">
        <f>A42</f>
        <v>Ref-007</v>
      </c>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t="s">
        <v>70</v>
      </c>
      <c r="AM27" s="27" t="s">
        <v>71</v>
      </c>
    </row>
    <row r="28" spans="1:39" x14ac:dyDescent="0.35">
      <c r="A28" s="27" t="s">
        <v>72</v>
      </c>
      <c r="B28" s="32">
        <v>9</v>
      </c>
      <c r="C28" s="32" t="s">
        <v>36</v>
      </c>
      <c r="D28" s="32" t="s">
        <v>549</v>
      </c>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t="s">
        <v>70</v>
      </c>
      <c r="AM28" s="27" t="s">
        <v>71</v>
      </c>
    </row>
    <row r="29" spans="1:39" x14ac:dyDescent="0.35">
      <c r="A29" s="27" t="s">
        <v>74</v>
      </c>
      <c r="B29" s="32">
        <v>9</v>
      </c>
      <c r="C29" s="32" t="s">
        <v>68</v>
      </c>
      <c r="D29" s="32" t="s">
        <v>75</v>
      </c>
      <c r="E29" s="27" t="s">
        <v>76</v>
      </c>
      <c r="F29" s="27" t="str">
        <f>A33&amp; " "&amp;A32</f>
        <v>Fn-004 Fn-003</v>
      </c>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t="s">
        <v>70</v>
      </c>
      <c r="AM29" s="27" t="s">
        <v>71</v>
      </c>
    </row>
    <row r="30" spans="1:39" x14ac:dyDescent="0.35">
      <c r="A30" s="27" t="s">
        <v>85</v>
      </c>
      <c r="B30" s="32">
        <v>10</v>
      </c>
      <c r="C30" s="32" t="s">
        <v>4</v>
      </c>
      <c r="D30" s="32" t="s">
        <v>78</v>
      </c>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t="s">
        <v>70</v>
      </c>
      <c r="AM30" s="27" t="s">
        <v>71</v>
      </c>
    </row>
    <row r="31" spans="1:39" ht="101.5" x14ac:dyDescent="0.35">
      <c r="A31" s="27" t="s">
        <v>81</v>
      </c>
      <c r="B31" s="32">
        <v>9</v>
      </c>
      <c r="C31" s="32" t="s">
        <v>79</v>
      </c>
      <c r="D31" s="32" t="s">
        <v>550</v>
      </c>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spans="1:39" ht="101.5" x14ac:dyDescent="0.35">
      <c r="A32" s="27" t="s">
        <v>87</v>
      </c>
      <c r="B32" s="32">
        <v>9</v>
      </c>
      <c r="C32" s="32" t="s">
        <v>79</v>
      </c>
      <c r="D32" s="32" t="s">
        <v>551</v>
      </c>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spans="1:39" ht="140.15" customHeight="1" x14ac:dyDescent="0.35">
      <c r="A33" s="27" t="s">
        <v>89</v>
      </c>
      <c r="B33" s="32">
        <v>9</v>
      </c>
      <c r="C33" s="32" t="s">
        <v>79</v>
      </c>
      <c r="D33" s="32" t="s">
        <v>82</v>
      </c>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t="s">
        <v>70</v>
      </c>
      <c r="AM33" s="27" t="s">
        <v>71</v>
      </c>
    </row>
    <row r="34" spans="1:39" x14ac:dyDescent="0.35">
      <c r="A34" s="27" t="s">
        <v>83</v>
      </c>
      <c r="B34" s="32">
        <v>9</v>
      </c>
      <c r="C34" s="32" t="s">
        <v>68</v>
      </c>
      <c r="D34" s="32" t="s">
        <v>84</v>
      </c>
      <c r="E34" s="27" t="str">
        <f>A42&amp; " "&amp;A41&amp; " "&amp;A44&amp; " "&amp;A43</f>
        <v>Ref-007 Ref-006 Ref-009 Ref-008</v>
      </c>
      <c r="F34" s="27" t="str">
        <f>A36</f>
        <v>Fn-005</v>
      </c>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t="s">
        <v>70</v>
      </c>
      <c r="AM34" s="27" t="s">
        <v>71</v>
      </c>
    </row>
    <row r="35" spans="1:39" ht="29" x14ac:dyDescent="0.35">
      <c r="A35" s="27" t="s">
        <v>99</v>
      </c>
      <c r="B35" s="32">
        <v>10</v>
      </c>
      <c r="C35" s="32" t="s">
        <v>4</v>
      </c>
      <c r="D35" s="32" t="s">
        <v>86</v>
      </c>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t="s">
        <v>70</v>
      </c>
      <c r="AM35" s="27" t="s">
        <v>71</v>
      </c>
    </row>
    <row r="36" spans="1:39" ht="153" customHeight="1" x14ac:dyDescent="0.35">
      <c r="A36" s="27" t="s">
        <v>93</v>
      </c>
      <c r="B36" s="32">
        <v>9</v>
      </c>
      <c r="C36" s="32" t="s">
        <v>79</v>
      </c>
      <c r="D36" s="32" t="s">
        <v>88</v>
      </c>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t="s">
        <v>70</v>
      </c>
      <c r="AM36" s="27" t="s">
        <v>71</v>
      </c>
    </row>
    <row r="37" spans="1:39" ht="153" customHeight="1" x14ac:dyDescent="0.35">
      <c r="A37" s="27" t="s">
        <v>135</v>
      </c>
      <c r="B37" s="32">
        <v>9</v>
      </c>
      <c r="C37" s="32" t="s">
        <v>79</v>
      </c>
      <c r="D37" s="32" t="s">
        <v>90</v>
      </c>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t="s">
        <v>70</v>
      </c>
      <c r="AM37" s="27" t="s">
        <v>71</v>
      </c>
    </row>
    <row r="38" spans="1:39" x14ac:dyDescent="0.35">
      <c r="A38" s="27" t="s">
        <v>91</v>
      </c>
      <c r="B38" s="32">
        <v>9</v>
      </c>
      <c r="C38" s="27" t="s">
        <v>128</v>
      </c>
      <c r="D38" s="32" t="s">
        <v>92</v>
      </c>
      <c r="E38" s="27" t="str">
        <f>A42</f>
        <v>Ref-007</v>
      </c>
      <c r="F38" s="27" t="str">
        <f>A37</f>
        <v>Fn-006</v>
      </c>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t="s">
        <v>70</v>
      </c>
      <c r="AM38" s="27" t="s">
        <v>71</v>
      </c>
    </row>
    <row r="39" spans="1:39" x14ac:dyDescent="0.35">
      <c r="A39" s="27" t="s">
        <v>95</v>
      </c>
      <c r="B39" s="32">
        <v>9</v>
      </c>
      <c r="C39" s="32" t="s">
        <v>68</v>
      </c>
      <c r="D39" s="27" t="s">
        <v>96</v>
      </c>
      <c r="E39" s="27" t="str">
        <f>A42&amp; " "&amp;A41</f>
        <v>Ref-007 Ref-006</v>
      </c>
      <c r="F39" s="27" t="str">
        <f>A31</f>
        <v>Fn-002</v>
      </c>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t="s">
        <v>70</v>
      </c>
      <c r="AM39" s="27" t="s">
        <v>71</v>
      </c>
    </row>
    <row r="40" spans="1:39" ht="29" x14ac:dyDescent="0.35">
      <c r="A40" s="27" t="s">
        <v>101</v>
      </c>
      <c r="B40" s="32">
        <v>10</v>
      </c>
      <c r="C40" s="32" t="s">
        <v>4</v>
      </c>
      <c r="D40" s="27" t="s">
        <v>100</v>
      </c>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t="s">
        <v>70</v>
      </c>
      <c r="AM40" s="27" t="s">
        <v>71</v>
      </c>
    </row>
    <row r="41" spans="1:39" x14ac:dyDescent="0.35">
      <c r="A41" s="27" t="s">
        <v>103</v>
      </c>
      <c r="B41" s="32">
        <v>10</v>
      </c>
      <c r="C41" s="32" t="s">
        <v>4</v>
      </c>
      <c r="D41" s="27" t="s">
        <v>102</v>
      </c>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t="s">
        <v>70</v>
      </c>
      <c r="AM41" s="27" t="s">
        <v>71</v>
      </c>
    </row>
    <row r="42" spans="1:39" x14ac:dyDescent="0.35">
      <c r="A42" s="27" t="s">
        <v>105</v>
      </c>
      <c r="B42" s="32">
        <v>10</v>
      </c>
      <c r="C42" s="32" t="s">
        <v>4</v>
      </c>
      <c r="D42" s="32" t="s">
        <v>104</v>
      </c>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t="s">
        <v>70</v>
      </c>
      <c r="AM42" s="27" t="s">
        <v>71</v>
      </c>
    </row>
    <row r="43" spans="1:39" x14ac:dyDescent="0.35">
      <c r="A43" s="27" t="s">
        <v>107</v>
      </c>
      <c r="B43" s="32">
        <v>10</v>
      </c>
      <c r="C43" s="32" t="s">
        <v>4</v>
      </c>
      <c r="D43" s="32" t="s">
        <v>106</v>
      </c>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t="s">
        <v>70</v>
      </c>
      <c r="AM43" s="27" t="s">
        <v>71</v>
      </c>
    </row>
    <row r="44" spans="1:39" x14ac:dyDescent="0.35">
      <c r="A44" s="27" t="s">
        <v>109</v>
      </c>
      <c r="B44" s="32">
        <v>10</v>
      </c>
      <c r="C44" s="32" t="s">
        <v>4</v>
      </c>
      <c r="D44" s="32" t="s">
        <v>108</v>
      </c>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t="s">
        <v>70</v>
      </c>
      <c r="AM44" s="27" t="s">
        <v>71</v>
      </c>
    </row>
    <row r="45" spans="1:39" x14ac:dyDescent="0.35">
      <c r="A45" s="27" t="s">
        <v>115</v>
      </c>
      <c r="B45" s="32">
        <v>10</v>
      </c>
      <c r="C45" s="32" t="s">
        <v>4</v>
      </c>
      <c r="D45" s="32" t="s">
        <v>110</v>
      </c>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t="s">
        <v>70</v>
      </c>
      <c r="AM45" s="27" t="s">
        <v>71</v>
      </c>
    </row>
    <row r="46" spans="1:39" ht="29" x14ac:dyDescent="0.35">
      <c r="A46" s="27" t="s">
        <v>111</v>
      </c>
      <c r="B46" s="32">
        <v>10</v>
      </c>
      <c r="C46" s="32" t="s">
        <v>6</v>
      </c>
      <c r="D46" s="32" t="s">
        <v>112</v>
      </c>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t="s">
        <v>70</v>
      </c>
      <c r="AM46" s="27" t="s">
        <v>71</v>
      </c>
    </row>
    <row r="47" spans="1:39" ht="29" x14ac:dyDescent="0.35">
      <c r="A47" s="27" t="s">
        <v>113</v>
      </c>
      <c r="B47" s="32">
        <v>10</v>
      </c>
      <c r="C47" s="32" t="s">
        <v>6</v>
      </c>
      <c r="D47" s="32" t="s">
        <v>114</v>
      </c>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t="s">
        <v>70</v>
      </c>
      <c r="AM47" s="27" t="s">
        <v>71</v>
      </c>
    </row>
    <row r="48" spans="1:39" x14ac:dyDescent="0.35">
      <c r="A48" s="27" t="s">
        <v>142</v>
      </c>
      <c r="B48" s="32">
        <v>10</v>
      </c>
      <c r="C48" s="32" t="s">
        <v>4</v>
      </c>
      <c r="D48" s="32" t="s">
        <v>116</v>
      </c>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t="s">
        <v>70</v>
      </c>
      <c r="AM48" s="27" t="s">
        <v>71</v>
      </c>
    </row>
    <row r="49" spans="1:39" x14ac:dyDescent="0.35">
      <c r="A49" s="27" t="s">
        <v>119</v>
      </c>
      <c r="B49" s="27">
        <v>11</v>
      </c>
      <c r="C49" s="27" t="s">
        <v>68</v>
      </c>
      <c r="D49" s="27" t="s">
        <v>120</v>
      </c>
      <c r="E49" s="27" t="str">
        <f>A42&amp; " "&amp;A64</f>
        <v>Ref-007 Ref-020</v>
      </c>
      <c r="F49" s="27" t="str">
        <f>A55</f>
        <v>Fn-007</v>
      </c>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t="s">
        <v>122</v>
      </c>
      <c r="AM49" s="27" t="s">
        <v>123</v>
      </c>
    </row>
    <row r="50" spans="1:39" x14ac:dyDescent="0.35">
      <c r="A50" s="27" t="s">
        <v>124</v>
      </c>
      <c r="B50" s="32">
        <v>11</v>
      </c>
      <c r="C50" s="32" t="s">
        <v>68</v>
      </c>
      <c r="D50" s="27" t="s">
        <v>125</v>
      </c>
      <c r="E50" s="27" t="str">
        <f>A60&amp; " "&amp;A61&amp; " "&amp;A62</f>
        <v>Ref-016 Ref-017 Ref-018</v>
      </c>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t="s">
        <v>122</v>
      </c>
      <c r="AM50" s="27" t="s">
        <v>123</v>
      </c>
    </row>
    <row r="51" spans="1:39" ht="29" x14ac:dyDescent="0.35">
      <c r="A51" s="27" t="s">
        <v>127</v>
      </c>
      <c r="B51" s="27">
        <v>11</v>
      </c>
      <c r="C51" s="32" t="s">
        <v>68</v>
      </c>
      <c r="D51" s="27" t="s">
        <v>129</v>
      </c>
      <c r="E51" s="27" t="str">
        <f>A56&amp; " "&amp;A57&amp; " "&amp;A58&amp; " "&amp;A59&amp; " "&amp;A60&amp; " "&amp;A61&amp; " "&amp;A62</f>
        <v>Ref-012 Ref-013 Ref-014 Ref-015 Ref-016 Ref-017 Ref-018</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t="s">
        <v>122</v>
      </c>
      <c r="AM51" s="27" t="s">
        <v>123</v>
      </c>
    </row>
    <row r="52" spans="1:39" x14ac:dyDescent="0.35">
      <c r="A52" s="27" t="s">
        <v>196</v>
      </c>
      <c r="B52" s="27">
        <v>11</v>
      </c>
      <c r="C52" s="27" t="s">
        <v>36</v>
      </c>
      <c r="D52" s="27" t="s">
        <v>552</v>
      </c>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row>
    <row r="53" spans="1:39" x14ac:dyDescent="0.35">
      <c r="A53" s="27" t="s">
        <v>229</v>
      </c>
      <c r="B53" s="27">
        <v>11</v>
      </c>
      <c r="C53" s="27" t="s">
        <v>36</v>
      </c>
      <c r="D53" s="27" t="s">
        <v>553</v>
      </c>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row>
    <row r="54" spans="1:39" ht="43.5" x14ac:dyDescent="0.35">
      <c r="A54" s="27" t="s">
        <v>132</v>
      </c>
      <c r="B54" s="27">
        <v>11</v>
      </c>
      <c r="C54" s="27" t="s">
        <v>68</v>
      </c>
      <c r="D54" s="27" t="s">
        <v>133</v>
      </c>
      <c r="E54" s="27" t="str">
        <f>A64&amp; " "&amp;A44&amp; " "&amp;A72&amp; " "&amp;A73&amp; " "&amp;A65&amp; " "&amp;A66&amp; " "&amp;A67&amp; " "&amp;A68&amp; " "&amp;A69&amp; " "&amp;A70</f>
        <v>Ref-020 Ref-009 Ref-028 Ref-029 Ref-021 Ref-022 Ref-023 Ref-024 Ref-025 Ref-026</v>
      </c>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t="s">
        <v>122</v>
      </c>
      <c r="AM54" s="27" t="s">
        <v>123</v>
      </c>
    </row>
    <row r="55" spans="1:39" ht="101.5" x14ac:dyDescent="0.35">
      <c r="A55" s="27" t="s">
        <v>137</v>
      </c>
      <c r="B55" s="27">
        <v>11</v>
      </c>
      <c r="C55" s="27" t="s">
        <v>79</v>
      </c>
      <c r="D55" s="27" t="s">
        <v>550</v>
      </c>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row>
    <row r="56" spans="1:39" ht="29" x14ac:dyDescent="0.35">
      <c r="A56" s="27" t="s">
        <v>144</v>
      </c>
      <c r="B56" s="32">
        <v>12</v>
      </c>
      <c r="C56" s="27" t="s">
        <v>4</v>
      </c>
      <c r="D56" s="27" t="s">
        <v>143</v>
      </c>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t="s">
        <v>122</v>
      </c>
      <c r="AM56" s="27" t="s">
        <v>123</v>
      </c>
    </row>
    <row r="57" spans="1:39" x14ac:dyDescent="0.35">
      <c r="A57" s="27" t="s">
        <v>146</v>
      </c>
      <c r="B57" s="32">
        <v>12</v>
      </c>
      <c r="C57" s="27" t="s">
        <v>4</v>
      </c>
      <c r="D57" s="27" t="s">
        <v>145</v>
      </c>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t="s">
        <v>122</v>
      </c>
      <c r="AM57" s="27" t="s">
        <v>123</v>
      </c>
    </row>
    <row r="58" spans="1:39" x14ac:dyDescent="0.35">
      <c r="A58" s="27" t="s">
        <v>148</v>
      </c>
      <c r="B58" s="32">
        <v>12</v>
      </c>
      <c r="C58" s="27" t="s">
        <v>4</v>
      </c>
      <c r="D58" s="27" t="s">
        <v>147</v>
      </c>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t="s">
        <v>122</v>
      </c>
      <c r="AM58" s="27" t="s">
        <v>123</v>
      </c>
    </row>
    <row r="59" spans="1:39" x14ac:dyDescent="0.35">
      <c r="A59" s="27" t="s">
        <v>150</v>
      </c>
      <c r="B59" s="32">
        <v>12</v>
      </c>
      <c r="C59" s="27" t="s">
        <v>4</v>
      </c>
      <c r="D59" s="27" t="s">
        <v>149</v>
      </c>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t="s">
        <v>122</v>
      </c>
      <c r="AM59" s="27" t="s">
        <v>123</v>
      </c>
    </row>
    <row r="60" spans="1:39" ht="43.5" x14ac:dyDescent="0.35">
      <c r="A60" s="27" t="s">
        <v>152</v>
      </c>
      <c r="B60" s="32">
        <v>12</v>
      </c>
      <c r="C60" s="27" t="s">
        <v>4</v>
      </c>
      <c r="D60" s="27" t="s">
        <v>151</v>
      </c>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t="s">
        <v>122</v>
      </c>
      <c r="AM60" s="27" t="s">
        <v>123</v>
      </c>
    </row>
    <row r="61" spans="1:39" ht="72.5" x14ac:dyDescent="0.35">
      <c r="A61" s="27" t="s">
        <v>154</v>
      </c>
      <c r="B61" s="32">
        <v>12</v>
      </c>
      <c r="C61" s="27" t="s">
        <v>4</v>
      </c>
      <c r="D61" s="27" t="s">
        <v>153</v>
      </c>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t="s">
        <v>122</v>
      </c>
      <c r="AM61" s="27" t="s">
        <v>123</v>
      </c>
    </row>
    <row r="62" spans="1:39" x14ac:dyDescent="0.35">
      <c r="A62" s="27" t="s">
        <v>156</v>
      </c>
      <c r="B62" s="32">
        <v>12</v>
      </c>
      <c r="C62" s="27" t="s">
        <v>4</v>
      </c>
      <c r="D62" s="27" t="s">
        <v>155</v>
      </c>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t="s">
        <v>122</v>
      </c>
      <c r="AM62" s="27" t="s">
        <v>123</v>
      </c>
    </row>
    <row r="63" spans="1:39" ht="29" x14ac:dyDescent="0.35">
      <c r="A63" s="27" t="s">
        <v>158</v>
      </c>
      <c r="B63" s="27">
        <v>12</v>
      </c>
      <c r="C63" s="27" t="s">
        <v>4</v>
      </c>
      <c r="D63" s="27" t="s">
        <v>157</v>
      </c>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t="s">
        <v>122</v>
      </c>
      <c r="AM63" s="27" t="s">
        <v>123</v>
      </c>
    </row>
    <row r="64" spans="1:39" x14ac:dyDescent="0.35">
      <c r="A64" s="27" t="s">
        <v>160</v>
      </c>
      <c r="B64" s="27">
        <v>12</v>
      </c>
      <c r="C64" s="27" t="s">
        <v>4</v>
      </c>
      <c r="D64" s="27" t="s">
        <v>159</v>
      </c>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t="s">
        <v>122</v>
      </c>
      <c r="AM64" s="27" t="s">
        <v>123</v>
      </c>
    </row>
    <row r="65" spans="1:39" ht="29" x14ac:dyDescent="0.35">
      <c r="A65" s="27" t="s">
        <v>162</v>
      </c>
      <c r="B65" s="27">
        <v>12</v>
      </c>
      <c r="C65" s="27" t="s">
        <v>4</v>
      </c>
      <c r="D65" s="27" t="s">
        <v>161</v>
      </c>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t="s">
        <v>122</v>
      </c>
      <c r="AM65" s="27" t="s">
        <v>123</v>
      </c>
    </row>
    <row r="66" spans="1:39" x14ac:dyDescent="0.35">
      <c r="A66" s="27" t="s">
        <v>164</v>
      </c>
      <c r="B66" s="27">
        <v>12</v>
      </c>
      <c r="C66" s="27" t="s">
        <v>4</v>
      </c>
      <c r="D66" s="27" t="s">
        <v>163</v>
      </c>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t="s">
        <v>122</v>
      </c>
      <c r="AM66" s="27" t="s">
        <v>123</v>
      </c>
    </row>
    <row r="67" spans="1:39" ht="29" x14ac:dyDescent="0.35">
      <c r="A67" s="27" t="s">
        <v>166</v>
      </c>
      <c r="B67" s="27">
        <v>12</v>
      </c>
      <c r="C67" s="27" t="s">
        <v>4</v>
      </c>
      <c r="D67" s="27" t="s">
        <v>165</v>
      </c>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t="s">
        <v>122</v>
      </c>
      <c r="AM67" s="27" t="s">
        <v>123</v>
      </c>
    </row>
    <row r="68" spans="1:39" x14ac:dyDescent="0.35">
      <c r="A68" s="27" t="s">
        <v>168</v>
      </c>
      <c r="B68" s="27">
        <v>12</v>
      </c>
      <c r="C68" s="27" t="s">
        <v>4</v>
      </c>
      <c r="D68" s="27" t="s">
        <v>167</v>
      </c>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t="s">
        <v>122</v>
      </c>
      <c r="AM68" s="27" t="s">
        <v>123</v>
      </c>
    </row>
    <row r="69" spans="1:39" x14ac:dyDescent="0.35">
      <c r="A69" s="27" t="s">
        <v>170</v>
      </c>
      <c r="B69" s="27">
        <v>12</v>
      </c>
      <c r="C69" s="27" t="s">
        <v>4</v>
      </c>
      <c r="D69" s="27" t="s">
        <v>169</v>
      </c>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t="s">
        <v>122</v>
      </c>
      <c r="AM69" s="27" t="s">
        <v>123</v>
      </c>
    </row>
    <row r="70" spans="1:39" x14ac:dyDescent="0.35">
      <c r="A70" s="27" t="s">
        <v>172</v>
      </c>
      <c r="B70" s="27">
        <v>12</v>
      </c>
      <c r="C70" s="27" t="s">
        <v>4</v>
      </c>
      <c r="D70" s="27" t="s">
        <v>171</v>
      </c>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t="s">
        <v>122</v>
      </c>
      <c r="AM70" s="27" t="s">
        <v>123</v>
      </c>
    </row>
    <row r="71" spans="1:39" x14ac:dyDescent="0.35">
      <c r="A71" s="27" t="s">
        <v>174</v>
      </c>
      <c r="B71" s="27">
        <v>12</v>
      </c>
      <c r="C71" s="27" t="s">
        <v>4</v>
      </c>
      <c r="D71" s="27" t="s">
        <v>173</v>
      </c>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t="s">
        <v>122</v>
      </c>
      <c r="AM71" s="27" t="s">
        <v>123</v>
      </c>
    </row>
    <row r="72" spans="1:39" ht="29" x14ac:dyDescent="0.35">
      <c r="A72" s="27" t="s">
        <v>176</v>
      </c>
      <c r="B72" s="27">
        <v>12</v>
      </c>
      <c r="C72" s="27" t="s">
        <v>4</v>
      </c>
      <c r="D72" s="27" t="s">
        <v>175</v>
      </c>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t="s">
        <v>122</v>
      </c>
      <c r="AM72" s="27" t="s">
        <v>123</v>
      </c>
    </row>
    <row r="73" spans="1:39" ht="29" x14ac:dyDescent="0.35">
      <c r="A73" s="27" t="s">
        <v>178</v>
      </c>
      <c r="B73" s="27">
        <v>12</v>
      </c>
      <c r="C73" s="27" t="s">
        <v>4</v>
      </c>
      <c r="D73" s="27" t="s">
        <v>177</v>
      </c>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t="s">
        <v>122</v>
      </c>
      <c r="AM73" s="27" t="s">
        <v>123</v>
      </c>
    </row>
    <row r="74" spans="1:39" ht="29" x14ac:dyDescent="0.35">
      <c r="A74" s="34" t="s">
        <v>117</v>
      </c>
      <c r="B74" s="27">
        <v>12</v>
      </c>
      <c r="C74" s="27" t="s">
        <v>6</v>
      </c>
      <c r="D74" s="27" t="s">
        <v>112</v>
      </c>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row>
    <row r="75" spans="1:39" x14ac:dyDescent="0.35">
      <c r="A75" s="34" t="s">
        <v>118</v>
      </c>
      <c r="B75" s="27">
        <v>12</v>
      </c>
      <c r="C75" s="27" t="s">
        <v>6</v>
      </c>
      <c r="D75" s="27" t="s">
        <v>181</v>
      </c>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row>
    <row r="76" spans="1:39" x14ac:dyDescent="0.35">
      <c r="A76" s="27" t="s">
        <v>182</v>
      </c>
      <c r="B76" s="27">
        <v>13</v>
      </c>
      <c r="C76" s="27" t="s">
        <v>68</v>
      </c>
      <c r="D76" s="27" t="s">
        <v>183</v>
      </c>
      <c r="E76" s="27" t="str">
        <f>A89</f>
        <v>Ref-030</v>
      </c>
      <c r="F76" s="27" t="str">
        <f>A85</f>
        <v>Fn-010</v>
      </c>
      <c r="G76" s="27"/>
      <c r="H76" s="27" t="str">
        <f>A84</f>
        <v>Cl-013</v>
      </c>
      <c r="I76" s="27" t="s">
        <v>65</v>
      </c>
      <c r="J76" s="27" t="str">
        <f>A88</f>
        <v>Cl-014</v>
      </c>
      <c r="K76" s="27" t="s">
        <v>65</v>
      </c>
      <c r="L76" s="27"/>
      <c r="M76" s="27"/>
      <c r="N76" s="27"/>
      <c r="O76" s="27"/>
      <c r="P76" s="27"/>
      <c r="Q76" s="27"/>
      <c r="R76" s="27"/>
      <c r="S76" s="27"/>
      <c r="T76" s="27"/>
      <c r="U76" s="27"/>
      <c r="V76" s="27"/>
      <c r="W76" s="27"/>
      <c r="X76" s="27"/>
      <c r="Y76" s="27"/>
      <c r="Z76" s="27"/>
      <c r="AA76" s="27"/>
      <c r="AB76" s="27" t="str">
        <f>A83</f>
        <v>Comp-015</v>
      </c>
      <c r="AC76" s="27" t="s">
        <v>65</v>
      </c>
      <c r="AD76" s="27"/>
      <c r="AE76" s="27"/>
      <c r="AF76" s="27"/>
      <c r="AG76" s="27"/>
      <c r="AH76" s="27"/>
      <c r="AI76" s="27"/>
      <c r="AJ76" s="27"/>
      <c r="AK76" s="27"/>
      <c r="AL76" s="27" t="s">
        <v>184</v>
      </c>
      <c r="AM76" s="27" t="s">
        <v>185</v>
      </c>
    </row>
    <row r="77" spans="1:39" ht="29" x14ac:dyDescent="0.35">
      <c r="A77" s="27" t="s">
        <v>186</v>
      </c>
      <c r="B77" s="27">
        <v>13</v>
      </c>
      <c r="C77" s="27" t="s">
        <v>128</v>
      </c>
      <c r="D77" s="27" t="s">
        <v>187</v>
      </c>
      <c r="E77" s="27" t="str">
        <f>A89</f>
        <v>Ref-030</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t="s">
        <v>184</v>
      </c>
      <c r="AM77" s="27" t="s">
        <v>185</v>
      </c>
    </row>
    <row r="78" spans="1:39" x14ac:dyDescent="0.35">
      <c r="A78" s="27" t="s">
        <v>554</v>
      </c>
      <c r="B78" s="27">
        <v>13</v>
      </c>
      <c r="C78" s="27" t="s">
        <v>32</v>
      </c>
      <c r="D78" s="27" t="s">
        <v>189</v>
      </c>
      <c r="E78" s="27" t="str">
        <f>A89</f>
        <v>Ref-030</v>
      </c>
      <c r="F78" s="27" t="str">
        <f>A86</f>
        <v>Fn-011</v>
      </c>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t="s">
        <v>184</v>
      </c>
      <c r="AM78" s="27" t="s">
        <v>185</v>
      </c>
    </row>
    <row r="79" spans="1:39" x14ac:dyDescent="0.35">
      <c r="A79" s="34" t="s">
        <v>139</v>
      </c>
      <c r="B79" s="27">
        <v>13</v>
      </c>
      <c r="C79" s="27" t="s">
        <v>79</v>
      </c>
      <c r="D79" s="27" t="s">
        <v>191</v>
      </c>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t="s">
        <v>184</v>
      </c>
      <c r="AM79" s="27" t="s">
        <v>185</v>
      </c>
    </row>
    <row r="80" spans="1:39" x14ac:dyDescent="0.35">
      <c r="A80" s="34" t="s">
        <v>141</v>
      </c>
      <c r="B80" s="27">
        <v>13</v>
      </c>
      <c r="C80" s="27" t="s">
        <v>79</v>
      </c>
      <c r="D80" s="27" t="s">
        <v>193</v>
      </c>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t="s">
        <v>184</v>
      </c>
      <c r="AM80" s="27" t="s">
        <v>185</v>
      </c>
    </row>
    <row r="81" spans="1:39" x14ac:dyDescent="0.35">
      <c r="A81" s="34" t="s">
        <v>555</v>
      </c>
      <c r="B81" s="27">
        <v>13</v>
      </c>
      <c r="C81" s="27" t="s">
        <v>6</v>
      </c>
      <c r="D81" s="28" t="s">
        <v>556</v>
      </c>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row>
    <row r="82" spans="1:39" ht="29" x14ac:dyDescent="0.35">
      <c r="A82" s="34" t="s">
        <v>179</v>
      </c>
      <c r="B82" s="27">
        <v>13</v>
      </c>
      <c r="C82" s="27" t="s">
        <v>6</v>
      </c>
      <c r="D82" s="27" t="s">
        <v>557</v>
      </c>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t="s">
        <v>184</v>
      </c>
      <c r="AM82" s="27" t="s">
        <v>185</v>
      </c>
    </row>
    <row r="83" spans="1:39" x14ac:dyDescent="0.35">
      <c r="A83" s="27" t="s">
        <v>250</v>
      </c>
      <c r="B83" s="27">
        <v>13</v>
      </c>
      <c r="C83" s="27" t="s">
        <v>36</v>
      </c>
      <c r="D83" s="27" t="s">
        <v>197</v>
      </c>
      <c r="E83" s="27" t="str">
        <f>A89</f>
        <v>Ref-030</v>
      </c>
      <c r="F83" s="27"/>
      <c r="G83" s="27" t="str">
        <f>A81&amp; " "&amp;A82</f>
        <v>Gs-093 Gs-006</v>
      </c>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t="s">
        <v>184</v>
      </c>
      <c r="AM83" s="27" t="s">
        <v>185</v>
      </c>
    </row>
    <row r="84" spans="1:39" x14ac:dyDescent="0.35">
      <c r="A84" s="27" t="s">
        <v>198</v>
      </c>
      <c r="B84" s="27">
        <v>13</v>
      </c>
      <c r="C84" s="27" t="s">
        <v>128</v>
      </c>
      <c r="D84" s="27" t="s">
        <v>199</v>
      </c>
      <c r="E84" s="27" t="str">
        <f>A89</f>
        <v>Ref-030</v>
      </c>
      <c r="F84" s="27" t="str">
        <f>A86</f>
        <v>Fn-011</v>
      </c>
      <c r="G84" s="27" t="str">
        <f>A81</f>
        <v>Gs-093</v>
      </c>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t="s">
        <v>184</v>
      </c>
      <c r="AM84" s="27" t="s">
        <v>185</v>
      </c>
    </row>
    <row r="85" spans="1:39" ht="43.5" x14ac:dyDescent="0.35">
      <c r="A85" s="34" t="s">
        <v>192</v>
      </c>
      <c r="B85" s="27">
        <v>13</v>
      </c>
      <c r="C85" s="27" t="s">
        <v>79</v>
      </c>
      <c r="D85" s="27" t="s">
        <v>201</v>
      </c>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t="s">
        <v>184</v>
      </c>
      <c r="AM85" s="27" t="s">
        <v>185</v>
      </c>
    </row>
    <row r="86" spans="1:39" x14ac:dyDescent="0.35">
      <c r="A86" s="34" t="s">
        <v>200</v>
      </c>
      <c r="B86" s="27">
        <v>13</v>
      </c>
      <c r="C86" s="27" t="s">
        <v>79</v>
      </c>
      <c r="D86" s="27" t="s">
        <v>203</v>
      </c>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row>
    <row r="87" spans="1:39" x14ac:dyDescent="0.35">
      <c r="A87" s="34" t="s">
        <v>202</v>
      </c>
      <c r="B87" s="27">
        <v>13</v>
      </c>
      <c r="C87" s="27" t="s">
        <v>79</v>
      </c>
      <c r="D87" s="27" t="s">
        <v>205</v>
      </c>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row>
    <row r="88" spans="1:39" x14ac:dyDescent="0.35">
      <c r="A88" s="27" t="s">
        <v>206</v>
      </c>
      <c r="B88" s="27">
        <v>13</v>
      </c>
      <c r="C88" s="27" t="s">
        <v>128</v>
      </c>
      <c r="D88" s="27" t="s">
        <v>207</v>
      </c>
      <c r="E88" s="27" t="str">
        <f>A89</f>
        <v>Ref-030</v>
      </c>
      <c r="F88" s="27" t="str">
        <f>A86</f>
        <v>Fn-011</v>
      </c>
      <c r="G88" s="27" t="str">
        <f>A82</f>
        <v>Gs-006</v>
      </c>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t="s">
        <v>184</v>
      </c>
      <c r="AM88" s="27" t="s">
        <v>185</v>
      </c>
    </row>
    <row r="89" spans="1:39" x14ac:dyDescent="0.35">
      <c r="A89" s="27" t="s">
        <v>210</v>
      </c>
      <c r="B89" s="27">
        <v>14</v>
      </c>
      <c r="C89" s="27" t="s">
        <v>4</v>
      </c>
      <c r="D89" s="27" t="s">
        <v>211</v>
      </c>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t="s">
        <v>184</v>
      </c>
      <c r="AM89" s="27" t="s">
        <v>185</v>
      </c>
    </row>
    <row r="90" spans="1:39" x14ac:dyDescent="0.35">
      <c r="A90" s="27" t="s">
        <v>212</v>
      </c>
      <c r="B90" s="27">
        <v>14</v>
      </c>
      <c r="C90" s="27" t="s">
        <v>4</v>
      </c>
      <c r="D90" s="27" t="s">
        <v>104</v>
      </c>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row>
    <row r="91" spans="1:39" ht="29" x14ac:dyDescent="0.35">
      <c r="A91" s="34" t="s">
        <v>180</v>
      </c>
      <c r="B91" s="27">
        <v>14</v>
      </c>
      <c r="C91" s="27" t="s">
        <v>6</v>
      </c>
      <c r="D91" s="27" t="s">
        <v>214</v>
      </c>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row>
    <row r="92" spans="1:39" ht="29" x14ac:dyDescent="0.35">
      <c r="A92" s="34" t="s">
        <v>194</v>
      </c>
      <c r="B92" s="27">
        <v>14</v>
      </c>
      <c r="C92" s="27" t="s">
        <v>6</v>
      </c>
      <c r="D92" s="27" t="s">
        <v>216</v>
      </c>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row>
    <row r="93" spans="1:39" x14ac:dyDescent="0.35">
      <c r="A93" s="27" t="s">
        <v>217</v>
      </c>
      <c r="B93" s="27">
        <v>15</v>
      </c>
      <c r="C93" s="27" t="s">
        <v>68</v>
      </c>
      <c r="D93" s="27" t="s">
        <v>218</v>
      </c>
      <c r="E93" s="27" t="str">
        <f>A95&amp; " "&amp;A96</f>
        <v>Ref-032 Ref-033</v>
      </c>
      <c r="F93" s="27" t="str">
        <f>A101</f>
        <v>Fn-014</v>
      </c>
      <c r="G93" s="27"/>
      <c r="H93" s="27" t="str">
        <f>A94</f>
        <v>Cl-016</v>
      </c>
      <c r="I93" s="27" t="s">
        <v>65</v>
      </c>
      <c r="J93" s="27" t="str">
        <f>A100</f>
        <v>Cl-017</v>
      </c>
      <c r="K93" s="27" t="s">
        <v>65</v>
      </c>
      <c r="L93" s="27"/>
      <c r="M93" s="27"/>
      <c r="N93" s="27"/>
      <c r="O93" s="27"/>
      <c r="P93" s="27"/>
      <c r="Q93" s="27"/>
      <c r="R93" s="27"/>
      <c r="S93" s="27"/>
      <c r="T93" s="27"/>
      <c r="U93" s="27"/>
      <c r="V93" s="27"/>
      <c r="W93" s="27"/>
      <c r="X93" s="27"/>
      <c r="Y93" s="27"/>
      <c r="Z93" s="27"/>
      <c r="AA93" s="27"/>
      <c r="AB93" s="27" t="str">
        <f>A97</f>
        <v>Comp-016</v>
      </c>
      <c r="AC93" s="27" t="s">
        <v>65</v>
      </c>
      <c r="AD93" s="27"/>
      <c r="AE93" s="27"/>
      <c r="AF93" s="27"/>
      <c r="AG93" s="27"/>
      <c r="AH93" s="27"/>
      <c r="AI93" s="27"/>
      <c r="AJ93" s="27"/>
      <c r="AK93" s="27"/>
      <c r="AL93" s="27" t="s">
        <v>221</v>
      </c>
      <c r="AM93" s="27" t="s">
        <v>222</v>
      </c>
    </row>
    <row r="94" spans="1:39" x14ac:dyDescent="0.35">
      <c r="A94" s="27" t="s">
        <v>223</v>
      </c>
      <c r="B94" s="27">
        <v>15</v>
      </c>
      <c r="C94" s="27" t="s">
        <v>128</v>
      </c>
      <c r="D94" s="27" t="s">
        <v>224</v>
      </c>
      <c r="E94" s="27" t="str">
        <f>A95&amp; " "&amp;A96</f>
        <v>Ref-032 Ref-033</v>
      </c>
      <c r="F94" s="27" t="str">
        <f>A102</f>
        <v>Fn-015</v>
      </c>
      <c r="G94" s="27" t="str">
        <f>A81</f>
        <v>Gs-093</v>
      </c>
      <c r="H94" s="27"/>
      <c r="I94" s="27"/>
      <c r="J94" s="27"/>
      <c r="K94" s="27"/>
      <c r="L94" s="27"/>
      <c r="M94" s="27"/>
      <c r="N94" s="27"/>
      <c r="O94" s="27"/>
      <c r="P94" s="27"/>
      <c r="Q94" s="27"/>
      <c r="R94" s="27"/>
      <c r="S94" s="27"/>
      <c r="T94" s="27"/>
      <c r="U94" s="27"/>
      <c r="V94" s="27"/>
      <c r="W94" s="27"/>
      <c r="X94" s="27"/>
      <c r="Y94" s="27"/>
      <c r="Z94" s="27"/>
      <c r="AA94" s="27"/>
      <c r="AB94" s="27" t="str">
        <f>A97</f>
        <v>Comp-016</v>
      </c>
      <c r="AC94" s="27" t="s">
        <v>65</v>
      </c>
      <c r="AD94" s="27"/>
      <c r="AE94" s="27"/>
      <c r="AF94" s="27"/>
      <c r="AG94" s="27"/>
      <c r="AH94" s="27"/>
      <c r="AI94" s="27"/>
      <c r="AJ94" s="27"/>
      <c r="AK94" s="27"/>
      <c r="AL94" s="27" t="s">
        <v>221</v>
      </c>
      <c r="AM94" s="27" t="s">
        <v>222</v>
      </c>
    </row>
    <row r="95" spans="1:39" ht="29" x14ac:dyDescent="0.35">
      <c r="A95" s="27" t="s">
        <v>225</v>
      </c>
      <c r="B95" s="27">
        <v>16</v>
      </c>
      <c r="C95" s="27" t="s">
        <v>4</v>
      </c>
      <c r="D95" s="27" t="s">
        <v>226</v>
      </c>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t="s">
        <v>221</v>
      </c>
      <c r="AM95" s="27" t="s">
        <v>222</v>
      </c>
    </row>
    <row r="96" spans="1:39" ht="29" x14ac:dyDescent="0.35">
      <c r="A96" s="27" t="s">
        <v>227</v>
      </c>
      <c r="B96" s="27">
        <v>16</v>
      </c>
      <c r="C96" s="27" t="s">
        <v>4</v>
      </c>
      <c r="D96" s="27" t="s">
        <v>228</v>
      </c>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t="s">
        <v>221</v>
      </c>
      <c r="AM96" s="27" t="s">
        <v>222</v>
      </c>
    </row>
    <row r="97" spans="1:39" x14ac:dyDescent="0.35">
      <c r="A97" s="27" t="s">
        <v>558</v>
      </c>
      <c r="B97" s="27">
        <v>15</v>
      </c>
      <c r="C97" s="27" t="s">
        <v>36</v>
      </c>
      <c r="D97" s="27" t="s">
        <v>230</v>
      </c>
      <c r="E97" s="27" t="str">
        <f>A95&amp; " "&amp;A96</f>
        <v>Ref-032 Ref-033</v>
      </c>
      <c r="F97" s="27" t="str">
        <f>A98&amp; " "&amp;A102</f>
        <v>Fn-013 Fn-015</v>
      </c>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t="s">
        <v>221</v>
      </c>
      <c r="AM97" s="27" t="s">
        <v>222</v>
      </c>
    </row>
    <row r="98" spans="1:39" ht="29" x14ac:dyDescent="0.35">
      <c r="A98" s="34" t="s">
        <v>204</v>
      </c>
      <c r="B98" s="27">
        <v>15</v>
      </c>
      <c r="C98" s="27" t="s">
        <v>79</v>
      </c>
      <c r="D98" s="27" t="s">
        <v>233</v>
      </c>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t="s">
        <v>221</v>
      </c>
      <c r="AM98" s="27" t="s">
        <v>222</v>
      </c>
    </row>
    <row r="99" spans="1:39" x14ac:dyDescent="0.35">
      <c r="A99" s="34" t="s">
        <v>213</v>
      </c>
      <c r="B99" s="27">
        <v>16</v>
      </c>
      <c r="C99" s="27" t="s">
        <v>6</v>
      </c>
      <c r="D99" s="27" t="s">
        <v>235</v>
      </c>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t="s">
        <v>221</v>
      </c>
      <c r="AM99" s="27" t="s">
        <v>222</v>
      </c>
    </row>
    <row r="100" spans="1:39" x14ac:dyDescent="0.35">
      <c r="A100" s="27" t="s">
        <v>236</v>
      </c>
      <c r="B100" s="27">
        <v>15</v>
      </c>
      <c r="C100" s="27" t="s">
        <v>128</v>
      </c>
      <c r="D100" s="27" t="s">
        <v>237</v>
      </c>
      <c r="E100" s="27" t="str">
        <f>A119</f>
        <v>Ref-035</v>
      </c>
      <c r="F100" s="27" t="str">
        <f>A101</f>
        <v>Fn-014</v>
      </c>
      <c r="G100" s="27"/>
      <c r="H100" s="27"/>
      <c r="I100" s="27"/>
      <c r="J100" s="27"/>
      <c r="K100" s="27"/>
      <c r="L100" s="27"/>
      <c r="M100" s="27"/>
      <c r="N100" s="27"/>
      <c r="O100" s="27"/>
      <c r="P100" s="27"/>
      <c r="Q100" s="27"/>
      <c r="R100" s="27"/>
      <c r="S100" s="27"/>
      <c r="T100" s="27"/>
      <c r="U100" s="27"/>
      <c r="V100" s="27"/>
      <c r="W100" s="27"/>
      <c r="X100" s="27"/>
      <c r="Y100" s="27"/>
      <c r="Z100" s="27"/>
      <c r="AA100" s="27"/>
      <c r="AB100" s="27" t="str">
        <f>A97</f>
        <v>Comp-016</v>
      </c>
      <c r="AC100" s="27" t="s">
        <v>65</v>
      </c>
      <c r="AD100" s="27"/>
      <c r="AE100" s="27"/>
      <c r="AF100" s="27"/>
      <c r="AG100" s="27"/>
      <c r="AH100" s="27"/>
      <c r="AI100" s="27"/>
      <c r="AJ100" s="27"/>
      <c r="AK100" s="27"/>
      <c r="AL100" s="27" t="s">
        <v>221</v>
      </c>
      <c r="AM100" s="27" t="s">
        <v>222</v>
      </c>
    </row>
    <row r="101" spans="1:39" ht="43.5" x14ac:dyDescent="0.35">
      <c r="A101" s="34" t="s">
        <v>208</v>
      </c>
      <c r="B101" s="27">
        <v>15</v>
      </c>
      <c r="C101" s="27" t="s">
        <v>79</v>
      </c>
      <c r="D101" s="27" t="s">
        <v>239</v>
      </c>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t="s">
        <v>221</v>
      </c>
      <c r="AM101" s="27" t="s">
        <v>222</v>
      </c>
    </row>
    <row r="102" spans="1:39" ht="29" x14ac:dyDescent="0.35">
      <c r="A102" s="34" t="s">
        <v>232</v>
      </c>
      <c r="B102" s="27">
        <v>15</v>
      </c>
      <c r="C102" s="27" t="s">
        <v>79</v>
      </c>
      <c r="D102" s="27" t="s">
        <v>241</v>
      </c>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row>
    <row r="103" spans="1:39" ht="58" x14ac:dyDescent="0.35">
      <c r="A103" s="34" t="s">
        <v>215</v>
      </c>
      <c r="B103" s="27">
        <v>16</v>
      </c>
      <c r="C103" s="27" t="s">
        <v>6</v>
      </c>
      <c r="D103" s="27" t="s">
        <v>559</v>
      </c>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row>
    <row r="104" spans="1:39" x14ac:dyDescent="0.35">
      <c r="A104" s="27" t="s">
        <v>242</v>
      </c>
      <c r="B104" s="27">
        <v>16</v>
      </c>
      <c r="C104" s="27" t="s">
        <v>4</v>
      </c>
      <c r="D104" s="27" t="s">
        <v>104</v>
      </c>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t="s">
        <v>221</v>
      </c>
      <c r="AM104" s="27" t="s">
        <v>222</v>
      </c>
    </row>
    <row r="105" spans="1:39" x14ac:dyDescent="0.35">
      <c r="A105" s="27" t="s">
        <v>243</v>
      </c>
      <c r="B105" s="27">
        <v>17</v>
      </c>
      <c r="C105" s="27" t="s">
        <v>68</v>
      </c>
      <c r="D105" s="27" t="s">
        <v>244</v>
      </c>
      <c r="E105" s="27" t="str">
        <f>A119</f>
        <v>Ref-035</v>
      </c>
      <c r="F105" s="27"/>
      <c r="G105" s="27"/>
      <c r="H105" s="27" t="str">
        <f>A106</f>
        <v>Cl-019</v>
      </c>
      <c r="I105" s="27" t="s">
        <v>65</v>
      </c>
      <c r="J105" s="27"/>
      <c r="K105" s="27"/>
      <c r="L105" s="27"/>
      <c r="M105" s="27"/>
      <c r="N105" s="27"/>
      <c r="O105" s="27"/>
      <c r="P105" s="27"/>
      <c r="Q105" s="27"/>
      <c r="R105" s="27" t="str">
        <f>A107&amp; " "&amp;A108</f>
        <v>RT-012 RT-013</v>
      </c>
      <c r="S105" s="27" t="s">
        <v>65</v>
      </c>
      <c r="T105" s="27"/>
      <c r="U105" s="27"/>
      <c r="V105" s="27"/>
      <c r="W105" s="27"/>
      <c r="X105" s="27"/>
      <c r="Y105" s="27"/>
      <c r="Z105" s="27"/>
      <c r="AA105" s="27"/>
      <c r="AB105" s="27" t="str">
        <f>A109</f>
        <v>Comp-017</v>
      </c>
      <c r="AC105" s="27" t="s">
        <v>65</v>
      </c>
      <c r="AD105" s="27"/>
      <c r="AE105" s="27"/>
      <c r="AF105" s="27"/>
      <c r="AG105" s="27"/>
      <c r="AH105" s="27"/>
      <c r="AI105" s="27"/>
      <c r="AJ105" s="27"/>
      <c r="AK105" s="27"/>
      <c r="AL105" s="27" t="s">
        <v>560</v>
      </c>
      <c r="AM105" s="35" t="s">
        <v>561</v>
      </c>
    </row>
    <row r="106" spans="1:39" ht="29" x14ac:dyDescent="0.35">
      <c r="A106" s="27" t="s">
        <v>294</v>
      </c>
      <c r="B106" s="27">
        <v>17</v>
      </c>
      <c r="C106" s="27" t="s">
        <v>128</v>
      </c>
      <c r="D106" s="27" t="s">
        <v>245</v>
      </c>
      <c r="E106" s="27" t="str">
        <f>A120</f>
        <v>Ref-036</v>
      </c>
      <c r="F106" s="27" t="str">
        <f>A115</f>
        <v>Fn-017</v>
      </c>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t="s">
        <v>560</v>
      </c>
      <c r="AM106" s="35" t="s">
        <v>561</v>
      </c>
    </row>
    <row r="107" spans="1:39" x14ac:dyDescent="0.35">
      <c r="A107" s="27" t="s">
        <v>562</v>
      </c>
      <c r="B107" s="27">
        <v>17</v>
      </c>
      <c r="C107" s="27" t="s">
        <v>32</v>
      </c>
      <c r="D107" s="27" t="s">
        <v>246</v>
      </c>
      <c r="E107" s="27" t="str">
        <f>A119</f>
        <v>Ref-035</v>
      </c>
      <c r="F107" s="27" t="str">
        <f>A116</f>
        <v>Fn-018</v>
      </c>
      <c r="G107" s="27" t="str">
        <f>A99</f>
        <v>Gs-009</v>
      </c>
      <c r="H107" s="27"/>
      <c r="I107" s="27"/>
      <c r="J107" s="27"/>
      <c r="K107" s="27"/>
      <c r="L107" s="27"/>
      <c r="M107" s="27"/>
      <c r="N107" s="27"/>
      <c r="O107" s="27"/>
      <c r="P107" s="27"/>
      <c r="Q107" s="27"/>
      <c r="R107" s="27"/>
      <c r="S107" s="27"/>
      <c r="T107" s="27"/>
      <c r="U107" s="27"/>
      <c r="V107" s="27"/>
      <c r="W107" s="27"/>
      <c r="X107" s="27"/>
      <c r="Y107" s="27"/>
      <c r="Z107" s="27"/>
      <c r="AA107" s="27"/>
      <c r="AB107" s="27" t="str">
        <f>A109</f>
        <v>Comp-017</v>
      </c>
      <c r="AC107" s="27" t="s">
        <v>65</v>
      </c>
      <c r="AD107" s="27"/>
      <c r="AE107" s="27"/>
      <c r="AF107" s="27"/>
      <c r="AG107" s="27"/>
      <c r="AH107" s="27"/>
      <c r="AI107" s="27"/>
      <c r="AJ107" s="27"/>
      <c r="AK107" s="27"/>
      <c r="AL107" s="27" t="s">
        <v>560</v>
      </c>
      <c r="AM107" s="35" t="s">
        <v>561</v>
      </c>
    </row>
    <row r="108" spans="1:39" ht="29" x14ac:dyDescent="0.35">
      <c r="A108" s="27" t="s">
        <v>563</v>
      </c>
      <c r="B108" s="27">
        <v>17</v>
      </c>
      <c r="C108" s="27" t="s">
        <v>32</v>
      </c>
      <c r="D108" s="27" t="s">
        <v>248</v>
      </c>
      <c r="E108" s="27" t="str">
        <f>A119&amp; " "&amp;A121</f>
        <v>Ref-035 Ref-037</v>
      </c>
      <c r="F108" s="27" t="str">
        <f>A117</f>
        <v>Fn-019</v>
      </c>
      <c r="G108" s="27"/>
      <c r="H108" s="27"/>
      <c r="I108" s="27"/>
      <c r="J108" s="27"/>
      <c r="K108" s="27"/>
      <c r="L108" s="27"/>
      <c r="M108" s="27"/>
      <c r="N108" s="27"/>
      <c r="O108" s="27"/>
      <c r="P108" s="27"/>
      <c r="Q108" s="27"/>
      <c r="R108" s="27"/>
      <c r="S108" s="27"/>
      <c r="T108" s="27"/>
      <c r="U108" s="27"/>
      <c r="V108" s="27"/>
      <c r="W108" s="27"/>
      <c r="X108" s="27"/>
      <c r="Y108" s="27"/>
      <c r="Z108" s="27"/>
      <c r="AA108" s="27"/>
      <c r="AB108" s="27" t="str">
        <f>A110</f>
        <v>Comp-018</v>
      </c>
      <c r="AC108" s="27" t="s">
        <v>61</v>
      </c>
      <c r="AD108" s="27" t="str">
        <f>A111</f>
        <v>Comp-019</v>
      </c>
      <c r="AE108" s="27" t="s">
        <v>61</v>
      </c>
      <c r="AF108" s="27" t="str">
        <f>A112</f>
        <v>Comp-020</v>
      </c>
      <c r="AG108" s="27" t="s">
        <v>61</v>
      </c>
      <c r="AH108" s="27" t="str">
        <f>A113</f>
        <v>Comp-021</v>
      </c>
      <c r="AI108" s="27" t="s">
        <v>61</v>
      </c>
      <c r="AJ108" s="27"/>
      <c r="AK108" s="27"/>
      <c r="AL108" s="27" t="s">
        <v>560</v>
      </c>
      <c r="AM108" s="35" t="s">
        <v>561</v>
      </c>
    </row>
    <row r="109" spans="1:39" x14ac:dyDescent="0.35">
      <c r="A109" s="34" t="s">
        <v>564</v>
      </c>
      <c r="B109" s="27">
        <v>17</v>
      </c>
      <c r="C109" s="27" t="s">
        <v>36</v>
      </c>
      <c r="D109" s="27" t="s">
        <v>565</v>
      </c>
      <c r="E109" s="27" t="str">
        <f>A119</f>
        <v>Ref-035</v>
      </c>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t="s">
        <v>560</v>
      </c>
      <c r="AM109" s="35" t="s">
        <v>561</v>
      </c>
    </row>
    <row r="110" spans="1:39" x14ac:dyDescent="0.35">
      <c r="A110" s="34" t="s">
        <v>566</v>
      </c>
      <c r="B110" s="27">
        <v>17</v>
      </c>
      <c r="C110" s="27" t="s">
        <v>36</v>
      </c>
      <c r="D110" s="27" t="s">
        <v>281</v>
      </c>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t="s">
        <v>560</v>
      </c>
      <c r="AM110" s="35" t="s">
        <v>561</v>
      </c>
    </row>
    <row r="111" spans="1:39" x14ac:dyDescent="0.35">
      <c r="A111" s="34" t="s">
        <v>249</v>
      </c>
      <c r="B111" s="27">
        <v>17</v>
      </c>
      <c r="C111" s="27" t="s">
        <v>36</v>
      </c>
      <c r="D111" s="27" t="s">
        <v>567</v>
      </c>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t="s">
        <v>560</v>
      </c>
      <c r="AM111" s="35" t="s">
        <v>561</v>
      </c>
    </row>
    <row r="112" spans="1:39" x14ac:dyDescent="0.35">
      <c r="A112" s="34" t="s">
        <v>263</v>
      </c>
      <c r="B112" s="27">
        <v>17</v>
      </c>
      <c r="C112" s="27" t="s">
        <v>36</v>
      </c>
      <c r="D112" s="27" t="s">
        <v>568</v>
      </c>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t="s">
        <v>560</v>
      </c>
      <c r="AM112" s="35" t="s">
        <v>561</v>
      </c>
    </row>
    <row r="113" spans="1:39" x14ac:dyDescent="0.35">
      <c r="A113" s="34" t="s">
        <v>266</v>
      </c>
      <c r="B113" s="27">
        <v>17</v>
      </c>
      <c r="C113" s="27" t="s">
        <v>36</v>
      </c>
      <c r="D113" s="27" t="s">
        <v>569</v>
      </c>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t="s">
        <v>560</v>
      </c>
      <c r="AM113" s="35" t="s">
        <v>561</v>
      </c>
    </row>
    <row r="114" spans="1:39" x14ac:dyDescent="0.35">
      <c r="A114" s="34" t="s">
        <v>238</v>
      </c>
      <c r="B114" s="27">
        <v>17</v>
      </c>
      <c r="C114" s="27" t="s">
        <v>79</v>
      </c>
      <c r="D114" s="27" t="s">
        <v>251</v>
      </c>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t="s">
        <v>560</v>
      </c>
      <c r="AM114" s="35" t="s">
        <v>561</v>
      </c>
    </row>
    <row r="115" spans="1:39" x14ac:dyDescent="0.35">
      <c r="A115" s="34" t="s">
        <v>240</v>
      </c>
      <c r="B115" s="27">
        <v>17</v>
      </c>
      <c r="C115" s="27" t="s">
        <v>79</v>
      </c>
      <c r="D115" s="27" t="s">
        <v>252</v>
      </c>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t="s">
        <v>560</v>
      </c>
      <c r="AM115" s="35" t="s">
        <v>561</v>
      </c>
    </row>
    <row r="116" spans="1:39" ht="29" x14ac:dyDescent="0.35">
      <c r="A116" s="34" t="s">
        <v>570</v>
      </c>
      <c r="B116" s="27">
        <v>17</v>
      </c>
      <c r="C116" s="27" t="s">
        <v>79</v>
      </c>
      <c r="D116" s="27" t="s">
        <v>253</v>
      </c>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t="s">
        <v>560</v>
      </c>
      <c r="AM116" s="35" t="s">
        <v>561</v>
      </c>
    </row>
    <row r="117" spans="1:39" x14ac:dyDescent="0.35">
      <c r="A117" s="34" t="s">
        <v>571</v>
      </c>
      <c r="B117" s="27">
        <v>17</v>
      </c>
      <c r="C117" s="27" t="s">
        <v>79</v>
      </c>
      <c r="D117" s="27" t="s">
        <v>254</v>
      </c>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t="s">
        <v>560</v>
      </c>
      <c r="AM117" s="35" t="s">
        <v>561</v>
      </c>
    </row>
    <row r="118" spans="1:39" x14ac:dyDescent="0.35">
      <c r="A118" s="34" t="s">
        <v>572</v>
      </c>
      <c r="B118" s="27">
        <v>17</v>
      </c>
      <c r="C118" s="27" t="s">
        <v>79</v>
      </c>
      <c r="D118" s="27" t="s">
        <v>255</v>
      </c>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t="s">
        <v>560</v>
      </c>
      <c r="AM118" s="35" t="s">
        <v>561</v>
      </c>
    </row>
    <row r="119" spans="1:39" ht="29" x14ac:dyDescent="0.35">
      <c r="A119" s="27" t="s">
        <v>573</v>
      </c>
      <c r="B119" s="27">
        <v>18</v>
      </c>
      <c r="C119" s="27" t="s">
        <v>4</v>
      </c>
      <c r="D119" s="27" t="s">
        <v>256</v>
      </c>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t="s">
        <v>560</v>
      </c>
      <c r="AM119" s="35" t="s">
        <v>561</v>
      </c>
    </row>
    <row r="120" spans="1:39" x14ac:dyDescent="0.35">
      <c r="A120" s="27" t="s">
        <v>574</v>
      </c>
      <c r="B120" s="27">
        <v>18</v>
      </c>
      <c r="C120" s="27" t="s">
        <v>4</v>
      </c>
      <c r="D120" s="27" t="s">
        <v>257</v>
      </c>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t="s">
        <v>560</v>
      </c>
      <c r="AM120" s="35" t="s">
        <v>561</v>
      </c>
    </row>
    <row r="121" spans="1:39" ht="29" x14ac:dyDescent="0.35">
      <c r="A121" s="27" t="s">
        <v>575</v>
      </c>
      <c r="B121" s="27">
        <v>18</v>
      </c>
      <c r="C121" s="27" t="s">
        <v>4</v>
      </c>
      <c r="D121" s="27" t="s">
        <v>576</v>
      </c>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t="s">
        <v>560</v>
      </c>
      <c r="AM121" s="35" t="s">
        <v>561</v>
      </c>
    </row>
    <row r="122" spans="1:39" ht="43.5" x14ac:dyDescent="0.35">
      <c r="A122" s="34" t="s">
        <v>234</v>
      </c>
      <c r="B122" s="27">
        <v>18</v>
      </c>
      <c r="C122" s="27" t="s">
        <v>6</v>
      </c>
      <c r="D122" s="27" t="s">
        <v>259</v>
      </c>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t="s">
        <v>560</v>
      </c>
      <c r="AM122" s="35" t="s">
        <v>561</v>
      </c>
    </row>
    <row r="123" spans="1:39" x14ac:dyDescent="0.35">
      <c r="A123" s="27" t="s">
        <v>577</v>
      </c>
      <c r="B123" s="27">
        <v>19</v>
      </c>
      <c r="C123" s="27" t="s">
        <v>68</v>
      </c>
      <c r="D123" s="27" t="s">
        <v>260</v>
      </c>
      <c r="E123" s="27" t="str">
        <f t="shared" ref="E123:E128" si="0">A140</f>
        <v>Ref-038</v>
      </c>
      <c r="F123" s="27" t="str">
        <f t="shared" ref="F123:F128" si="1">A129</f>
        <v>Fn-021</v>
      </c>
      <c r="G123" s="27"/>
      <c r="H123" s="27"/>
      <c r="I123" s="27"/>
      <c r="J123" s="27"/>
      <c r="K123" s="27"/>
      <c r="L123" s="27"/>
      <c r="M123" s="27"/>
      <c r="N123" s="27"/>
      <c r="O123" s="27"/>
      <c r="P123" s="27"/>
      <c r="Q123" s="27"/>
      <c r="R123" s="27" t="str">
        <f>A124</f>
        <v>RT-014</v>
      </c>
      <c r="S123" s="27" t="s">
        <v>65</v>
      </c>
      <c r="T123" s="27" t="str">
        <f>A125</f>
        <v>RT-015</v>
      </c>
      <c r="U123" s="27" t="s">
        <v>65</v>
      </c>
      <c r="V123" s="27" t="str">
        <f>A126</f>
        <v>RT-016</v>
      </c>
      <c r="W123" s="27" t="s">
        <v>65</v>
      </c>
      <c r="X123" s="27" t="str">
        <f>A127</f>
        <v>RT-017</v>
      </c>
      <c r="Y123" s="27" t="s">
        <v>65</v>
      </c>
      <c r="Z123" s="27" t="str">
        <f>A128</f>
        <v>RT-018</v>
      </c>
      <c r="AA123" s="27" t="s">
        <v>65</v>
      </c>
      <c r="AB123" s="27"/>
      <c r="AC123" s="27"/>
      <c r="AD123" s="27"/>
      <c r="AE123" s="27"/>
      <c r="AF123" s="27"/>
      <c r="AG123" s="27"/>
      <c r="AH123" s="27"/>
      <c r="AI123" s="27"/>
      <c r="AJ123" s="27"/>
      <c r="AK123" s="27"/>
      <c r="AL123" s="27" t="s">
        <v>578</v>
      </c>
      <c r="AM123" s="27" t="s">
        <v>579</v>
      </c>
    </row>
    <row r="124" spans="1:39" x14ac:dyDescent="0.35">
      <c r="A124" s="27" t="s">
        <v>580</v>
      </c>
      <c r="B124" s="27">
        <v>19</v>
      </c>
      <c r="C124" s="27" t="s">
        <v>32</v>
      </c>
      <c r="D124" s="27" t="s">
        <v>262</v>
      </c>
      <c r="E124" s="27" t="str">
        <f t="shared" si="0"/>
        <v>Ref-039</v>
      </c>
      <c r="F124" s="27" t="str">
        <f t="shared" si="1"/>
        <v>Fn-022</v>
      </c>
      <c r="G124" s="27"/>
      <c r="H124" s="27"/>
      <c r="I124" s="27"/>
      <c r="J124" s="27"/>
      <c r="K124" s="27"/>
      <c r="L124" s="27"/>
      <c r="M124" s="27"/>
      <c r="N124" s="27"/>
      <c r="O124" s="27"/>
      <c r="P124" s="27"/>
      <c r="Q124" s="27"/>
      <c r="R124" s="27"/>
      <c r="S124" s="27"/>
      <c r="T124" s="27"/>
      <c r="U124" s="27"/>
      <c r="V124" s="27"/>
      <c r="W124" s="27"/>
      <c r="X124" s="27"/>
      <c r="Y124" s="27"/>
      <c r="Z124" s="27"/>
      <c r="AA124" s="27"/>
      <c r="AB124" s="27" t="str">
        <f>A135</f>
        <v>Comp-022</v>
      </c>
      <c r="AC124" s="27" t="s">
        <v>61</v>
      </c>
      <c r="AD124" s="27"/>
      <c r="AE124" s="27"/>
      <c r="AF124" s="27"/>
      <c r="AG124" s="27"/>
      <c r="AH124" s="27"/>
      <c r="AI124" s="27"/>
      <c r="AJ124" s="27"/>
      <c r="AK124" s="27"/>
      <c r="AL124" s="27" t="s">
        <v>578</v>
      </c>
      <c r="AM124" s="27" t="s">
        <v>579</v>
      </c>
    </row>
    <row r="125" spans="1:39" x14ac:dyDescent="0.35">
      <c r="A125" s="27" t="s">
        <v>581</v>
      </c>
      <c r="B125" s="27">
        <v>19</v>
      </c>
      <c r="C125" s="27" t="s">
        <v>32</v>
      </c>
      <c r="D125" s="27" t="s">
        <v>265</v>
      </c>
      <c r="E125" s="27" t="str">
        <f t="shared" si="0"/>
        <v>Ref-040</v>
      </c>
      <c r="F125" s="27" t="str">
        <f t="shared" si="1"/>
        <v>Fn-023</v>
      </c>
      <c r="G125" s="27"/>
      <c r="H125" s="27"/>
      <c r="I125" s="27"/>
      <c r="J125" s="27"/>
      <c r="K125" s="27"/>
      <c r="L125" s="27"/>
      <c r="M125" s="27"/>
      <c r="N125" s="27"/>
      <c r="O125" s="27"/>
      <c r="P125" s="27"/>
      <c r="Q125" s="27"/>
      <c r="R125" s="27"/>
      <c r="S125" s="27"/>
      <c r="T125" s="27"/>
      <c r="U125" s="27"/>
      <c r="V125" s="27"/>
      <c r="W125" s="27"/>
      <c r="X125" s="27"/>
      <c r="Y125" s="27"/>
      <c r="Z125" s="27"/>
      <c r="AA125" s="27"/>
      <c r="AB125" s="27" t="str">
        <f>A136</f>
        <v>Comp-023</v>
      </c>
      <c r="AC125" s="27" t="s">
        <v>61</v>
      </c>
      <c r="AD125" s="27"/>
      <c r="AE125" s="27"/>
      <c r="AF125" s="27"/>
      <c r="AG125" s="27"/>
      <c r="AH125" s="27"/>
      <c r="AI125" s="27"/>
      <c r="AJ125" s="27"/>
      <c r="AK125" s="27"/>
      <c r="AL125" s="27" t="s">
        <v>578</v>
      </c>
      <c r="AM125" s="27" t="s">
        <v>579</v>
      </c>
    </row>
    <row r="126" spans="1:39" x14ac:dyDescent="0.35">
      <c r="A126" s="27" t="s">
        <v>582</v>
      </c>
      <c r="B126" s="27">
        <v>19</v>
      </c>
      <c r="C126" s="27" t="s">
        <v>32</v>
      </c>
      <c r="D126" s="27" t="s">
        <v>268</v>
      </c>
      <c r="E126" s="27" t="str">
        <f t="shared" si="0"/>
        <v>Ref-041</v>
      </c>
      <c r="F126" s="27" t="str">
        <f t="shared" si="1"/>
        <v>Fn-024</v>
      </c>
      <c r="G126" s="27"/>
      <c r="H126" s="27"/>
      <c r="I126" s="27"/>
      <c r="J126" s="27"/>
      <c r="K126" s="27"/>
      <c r="L126" s="27"/>
      <c r="M126" s="27"/>
      <c r="N126" s="27"/>
      <c r="O126" s="27"/>
      <c r="P126" s="27"/>
      <c r="Q126" s="27"/>
      <c r="R126" s="27"/>
      <c r="S126" s="27"/>
      <c r="T126" s="27"/>
      <c r="U126" s="27"/>
      <c r="V126" s="27"/>
      <c r="W126" s="27"/>
      <c r="X126" s="27"/>
      <c r="Y126" s="27"/>
      <c r="Z126" s="27"/>
      <c r="AA126" s="27"/>
      <c r="AB126" s="27" t="str">
        <f>A137</f>
        <v>Comp-024</v>
      </c>
      <c r="AC126" s="27" t="s">
        <v>61</v>
      </c>
      <c r="AD126" s="27"/>
      <c r="AE126" s="27"/>
      <c r="AF126" s="27"/>
      <c r="AG126" s="27"/>
      <c r="AH126" s="27"/>
      <c r="AI126" s="27"/>
      <c r="AJ126" s="27"/>
      <c r="AK126" s="27"/>
      <c r="AL126" s="27" t="s">
        <v>578</v>
      </c>
      <c r="AM126" s="27" t="s">
        <v>579</v>
      </c>
    </row>
    <row r="127" spans="1:39" x14ac:dyDescent="0.35">
      <c r="A127" s="27" t="s">
        <v>583</v>
      </c>
      <c r="B127" s="27">
        <v>19</v>
      </c>
      <c r="C127" s="27" t="s">
        <v>32</v>
      </c>
      <c r="D127" s="27" t="s">
        <v>270</v>
      </c>
      <c r="E127" s="27" t="str">
        <f t="shared" si="0"/>
        <v>Ref-042</v>
      </c>
      <c r="F127" s="27" t="str">
        <f t="shared" si="1"/>
        <v>Fn-025</v>
      </c>
      <c r="G127" s="27"/>
      <c r="H127" s="27"/>
      <c r="I127" s="27"/>
      <c r="J127" s="27"/>
      <c r="K127" s="27"/>
      <c r="L127" s="27"/>
      <c r="M127" s="27"/>
      <c r="N127" s="27"/>
      <c r="O127" s="27"/>
      <c r="P127" s="27"/>
      <c r="Q127" s="27"/>
      <c r="R127" s="27"/>
      <c r="S127" s="27"/>
      <c r="T127" s="27"/>
      <c r="U127" s="27"/>
      <c r="V127" s="27"/>
      <c r="W127" s="27"/>
      <c r="X127" s="27"/>
      <c r="Y127" s="27"/>
      <c r="Z127" s="27"/>
      <c r="AA127" s="27"/>
      <c r="AB127" s="27" t="str">
        <f>A138</f>
        <v>Comp-025</v>
      </c>
      <c r="AC127" s="27" t="s">
        <v>61</v>
      </c>
      <c r="AD127" s="27"/>
      <c r="AE127" s="27"/>
      <c r="AF127" s="27"/>
      <c r="AG127" s="27"/>
      <c r="AH127" s="27"/>
      <c r="AI127" s="27"/>
      <c r="AJ127" s="27"/>
      <c r="AK127" s="27"/>
      <c r="AL127" s="27" t="s">
        <v>578</v>
      </c>
      <c r="AM127" s="27" t="s">
        <v>579</v>
      </c>
    </row>
    <row r="128" spans="1:39" x14ac:dyDescent="0.35">
      <c r="A128" s="27" t="s">
        <v>584</v>
      </c>
      <c r="B128" s="27">
        <v>19</v>
      </c>
      <c r="C128" s="27" t="s">
        <v>32</v>
      </c>
      <c r="D128" s="27" t="s">
        <v>272</v>
      </c>
      <c r="E128" s="27" t="str">
        <f t="shared" si="0"/>
        <v>Ref-043</v>
      </c>
      <c r="F128" s="27" t="str">
        <f t="shared" si="1"/>
        <v>Fn-026</v>
      </c>
      <c r="G128" s="27"/>
      <c r="H128" s="27"/>
      <c r="I128" s="27"/>
      <c r="J128" s="27"/>
      <c r="K128" s="27"/>
      <c r="L128" s="27"/>
      <c r="M128" s="27"/>
      <c r="N128" s="27"/>
      <c r="O128" s="27"/>
      <c r="P128" s="27"/>
      <c r="Q128" s="27"/>
      <c r="R128" s="27"/>
      <c r="S128" s="27"/>
      <c r="T128" s="27"/>
      <c r="U128" s="27"/>
      <c r="V128" s="27"/>
      <c r="W128" s="27"/>
      <c r="X128" s="27"/>
      <c r="Y128" s="27"/>
      <c r="Z128" s="27"/>
      <c r="AA128" s="27"/>
      <c r="AB128" s="27" t="str">
        <f>A139</f>
        <v>Comp-026</v>
      </c>
      <c r="AC128" s="27" t="s">
        <v>61</v>
      </c>
      <c r="AD128" s="27"/>
      <c r="AE128" s="27"/>
      <c r="AF128" s="27"/>
      <c r="AG128" s="27"/>
      <c r="AH128" s="27"/>
      <c r="AI128" s="27"/>
      <c r="AJ128" s="27"/>
      <c r="AK128" s="27"/>
      <c r="AL128" s="27" t="s">
        <v>578</v>
      </c>
      <c r="AM128" s="27" t="s">
        <v>579</v>
      </c>
    </row>
    <row r="129" spans="1:39" ht="72.5" x14ac:dyDescent="0.35">
      <c r="A129" s="34" t="s">
        <v>585</v>
      </c>
      <c r="B129" s="27">
        <v>19</v>
      </c>
      <c r="C129" s="27" t="s">
        <v>79</v>
      </c>
      <c r="D129" s="27" t="s">
        <v>273</v>
      </c>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t="s">
        <v>578</v>
      </c>
      <c r="AM129" s="27" t="s">
        <v>579</v>
      </c>
    </row>
    <row r="130" spans="1:39" ht="29" x14ac:dyDescent="0.35">
      <c r="A130" s="34" t="s">
        <v>586</v>
      </c>
      <c r="B130" s="27">
        <v>19</v>
      </c>
      <c r="C130" s="27" t="s">
        <v>79</v>
      </c>
      <c r="D130" s="27" t="s">
        <v>274</v>
      </c>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t="s">
        <v>578</v>
      </c>
      <c r="AM130" s="27" t="s">
        <v>579</v>
      </c>
    </row>
    <row r="131" spans="1:39" ht="87" x14ac:dyDescent="0.35">
      <c r="A131" s="34" t="s">
        <v>587</v>
      </c>
      <c r="B131" s="27">
        <v>19</v>
      </c>
      <c r="C131" s="27" t="s">
        <v>79</v>
      </c>
      <c r="D131" s="27" t="s">
        <v>275</v>
      </c>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t="s">
        <v>578</v>
      </c>
      <c r="AM131" s="27" t="s">
        <v>579</v>
      </c>
    </row>
    <row r="132" spans="1:39" ht="29" x14ac:dyDescent="0.35">
      <c r="A132" s="34" t="s">
        <v>588</v>
      </c>
      <c r="B132" s="27">
        <v>19</v>
      </c>
      <c r="C132" s="27" t="s">
        <v>79</v>
      </c>
      <c r="D132" s="27" t="s">
        <v>276</v>
      </c>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t="s">
        <v>578</v>
      </c>
      <c r="AM132" s="27" t="s">
        <v>579</v>
      </c>
    </row>
    <row r="133" spans="1:39" ht="43.5" x14ac:dyDescent="0.35">
      <c r="A133" s="34" t="s">
        <v>589</v>
      </c>
      <c r="B133" s="27">
        <v>19</v>
      </c>
      <c r="C133" s="27" t="s">
        <v>79</v>
      </c>
      <c r="D133" s="27" t="s">
        <v>277</v>
      </c>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t="s">
        <v>578</v>
      </c>
      <c r="AM133" s="27" t="s">
        <v>579</v>
      </c>
    </row>
    <row r="134" spans="1:39" ht="29" x14ac:dyDescent="0.35">
      <c r="A134" s="34" t="s">
        <v>590</v>
      </c>
      <c r="B134" s="27">
        <v>19</v>
      </c>
      <c r="C134" s="27" t="s">
        <v>79</v>
      </c>
      <c r="D134" s="27" t="s">
        <v>278</v>
      </c>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t="s">
        <v>578</v>
      </c>
      <c r="AM134" s="27" t="s">
        <v>579</v>
      </c>
    </row>
    <row r="135" spans="1:39" x14ac:dyDescent="0.35">
      <c r="A135" s="34" t="s">
        <v>296</v>
      </c>
      <c r="B135" s="27">
        <v>19</v>
      </c>
      <c r="C135" s="27" t="s">
        <v>36</v>
      </c>
      <c r="D135" s="27" t="s">
        <v>279</v>
      </c>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t="s">
        <v>578</v>
      </c>
      <c r="AM135" s="27" t="s">
        <v>579</v>
      </c>
    </row>
    <row r="136" spans="1:39" x14ac:dyDescent="0.35">
      <c r="A136" s="34" t="s">
        <v>591</v>
      </c>
      <c r="B136" s="27">
        <v>19</v>
      </c>
      <c r="C136" s="27" t="s">
        <v>36</v>
      </c>
      <c r="D136" s="27" t="s">
        <v>280</v>
      </c>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t="s">
        <v>578</v>
      </c>
      <c r="AM136" s="27" t="s">
        <v>579</v>
      </c>
    </row>
    <row r="137" spans="1:39" x14ac:dyDescent="0.35">
      <c r="A137" s="34" t="s">
        <v>592</v>
      </c>
      <c r="B137" s="27">
        <v>19</v>
      </c>
      <c r="C137" s="27" t="s">
        <v>36</v>
      </c>
      <c r="D137" s="27" t="s">
        <v>281</v>
      </c>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t="s">
        <v>578</v>
      </c>
      <c r="AM137" s="27" t="s">
        <v>579</v>
      </c>
    </row>
    <row r="138" spans="1:39" x14ac:dyDescent="0.35">
      <c r="A138" s="34" t="s">
        <v>593</v>
      </c>
      <c r="B138" s="27">
        <v>19</v>
      </c>
      <c r="C138" s="27" t="s">
        <v>36</v>
      </c>
      <c r="D138" s="27" t="s">
        <v>282</v>
      </c>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t="s">
        <v>578</v>
      </c>
      <c r="AM138" s="27" t="s">
        <v>579</v>
      </c>
    </row>
    <row r="139" spans="1:39" x14ac:dyDescent="0.35">
      <c r="A139" s="34" t="s">
        <v>594</v>
      </c>
      <c r="B139" s="27">
        <v>19</v>
      </c>
      <c r="C139" s="27" t="s">
        <v>36</v>
      </c>
      <c r="D139" s="27" t="s">
        <v>283</v>
      </c>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t="s">
        <v>578</v>
      </c>
      <c r="AM139" s="27" t="s">
        <v>579</v>
      </c>
    </row>
    <row r="140" spans="1:39" ht="130.5" x14ac:dyDescent="0.35">
      <c r="A140" s="27" t="s">
        <v>595</v>
      </c>
      <c r="B140" s="27">
        <v>20</v>
      </c>
      <c r="C140" s="27" t="s">
        <v>4</v>
      </c>
      <c r="D140" s="27" t="s">
        <v>284</v>
      </c>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t="s">
        <v>578</v>
      </c>
      <c r="AM140" s="27" t="s">
        <v>579</v>
      </c>
    </row>
    <row r="141" spans="1:39" ht="29" x14ac:dyDescent="0.35">
      <c r="A141" s="27" t="s">
        <v>596</v>
      </c>
      <c r="B141" s="27">
        <v>20</v>
      </c>
      <c r="C141" s="27" t="s">
        <v>4</v>
      </c>
      <c r="D141" s="27" t="s">
        <v>285</v>
      </c>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t="s">
        <v>578</v>
      </c>
      <c r="AM141" s="27" t="s">
        <v>579</v>
      </c>
    </row>
    <row r="142" spans="1:39" ht="72.5" x14ac:dyDescent="0.35">
      <c r="A142" s="27" t="s">
        <v>597</v>
      </c>
      <c r="B142" s="27">
        <v>20</v>
      </c>
      <c r="C142" s="27" t="s">
        <v>4</v>
      </c>
      <c r="D142" s="27" t="s">
        <v>286</v>
      </c>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t="s">
        <v>578</v>
      </c>
      <c r="AM142" s="27" t="s">
        <v>579</v>
      </c>
    </row>
    <row r="143" spans="1:39" x14ac:dyDescent="0.35">
      <c r="A143" s="27" t="s">
        <v>598</v>
      </c>
      <c r="B143" s="27">
        <v>20</v>
      </c>
      <c r="C143" s="27" t="s">
        <v>4</v>
      </c>
      <c r="D143" s="27" t="s">
        <v>287</v>
      </c>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t="s">
        <v>578</v>
      </c>
      <c r="AM143" s="27" t="s">
        <v>579</v>
      </c>
    </row>
    <row r="144" spans="1:39" x14ac:dyDescent="0.35">
      <c r="A144" s="27" t="s">
        <v>599</v>
      </c>
      <c r="B144" s="27">
        <v>20</v>
      </c>
      <c r="C144" s="27" t="s">
        <v>4</v>
      </c>
      <c r="D144" s="27" t="s">
        <v>288</v>
      </c>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t="s">
        <v>578</v>
      </c>
      <c r="AM144" s="27" t="s">
        <v>579</v>
      </c>
    </row>
    <row r="145" spans="1:39" x14ac:dyDescent="0.35">
      <c r="A145" s="27" t="s">
        <v>600</v>
      </c>
      <c r="B145" s="27">
        <v>20</v>
      </c>
      <c r="C145" s="27" t="s">
        <v>4</v>
      </c>
      <c r="D145" s="27" t="s">
        <v>289</v>
      </c>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t="s">
        <v>578</v>
      </c>
      <c r="AM145" s="27" t="s">
        <v>579</v>
      </c>
    </row>
    <row r="146" spans="1:39" ht="29" x14ac:dyDescent="0.35">
      <c r="A146" s="34" t="s">
        <v>601</v>
      </c>
      <c r="B146" s="27">
        <v>20</v>
      </c>
      <c r="C146" s="27" t="s">
        <v>6</v>
      </c>
      <c r="D146" s="27" t="s">
        <v>290</v>
      </c>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t="s">
        <v>578</v>
      </c>
      <c r="AM146" s="27" t="s">
        <v>579</v>
      </c>
    </row>
    <row r="147" spans="1:39" x14ac:dyDescent="0.35">
      <c r="A147" s="27" t="s">
        <v>602</v>
      </c>
      <c r="B147" s="27">
        <v>21</v>
      </c>
      <c r="C147" s="27" t="s">
        <v>68</v>
      </c>
      <c r="D147" s="27" t="s">
        <v>291</v>
      </c>
      <c r="E147" s="27" t="str">
        <f>A162</f>
        <v>Ref-044</v>
      </c>
      <c r="F147" s="27"/>
      <c r="G147" s="27"/>
      <c r="H147" s="27" t="str">
        <f>A148</f>
        <v>Cl-022</v>
      </c>
      <c r="I147" s="27" t="s">
        <v>65</v>
      </c>
      <c r="J147" s="27" t="str">
        <f>A149</f>
        <v>Cl-023</v>
      </c>
      <c r="K147" s="27" t="s">
        <v>65</v>
      </c>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t="s">
        <v>603</v>
      </c>
      <c r="AM147" s="27" t="s">
        <v>604</v>
      </c>
    </row>
    <row r="148" spans="1:39" ht="29" x14ac:dyDescent="0.35">
      <c r="A148" s="27" t="s">
        <v>605</v>
      </c>
      <c r="B148" s="27">
        <v>21</v>
      </c>
      <c r="C148" s="27" t="s">
        <v>128</v>
      </c>
      <c r="D148" s="27" t="s">
        <v>292</v>
      </c>
      <c r="E148" s="27" t="str">
        <f>A162</f>
        <v>Ref-044</v>
      </c>
      <c r="F148" s="27" t="str">
        <f>A159</f>
        <v>Fn-027</v>
      </c>
      <c r="G148" s="27" t="str">
        <f>A161</f>
        <v>Gs-013</v>
      </c>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t="s">
        <v>603</v>
      </c>
      <c r="AM148" s="27" t="s">
        <v>604</v>
      </c>
    </row>
    <row r="149" spans="1:39" x14ac:dyDescent="0.35">
      <c r="A149" s="27" t="s">
        <v>606</v>
      </c>
      <c r="B149" s="27">
        <v>21</v>
      </c>
      <c r="C149" s="27" t="s">
        <v>128</v>
      </c>
      <c r="D149" s="27" t="s">
        <v>295</v>
      </c>
      <c r="E149" s="27" t="str">
        <f>A163</f>
        <v>Ref-045</v>
      </c>
      <c r="F149" s="27" t="str">
        <f>A160</f>
        <v>Fn-028</v>
      </c>
      <c r="G149" s="27"/>
      <c r="H149" s="27"/>
      <c r="I149" s="27"/>
      <c r="J149" s="27"/>
      <c r="K149" s="27"/>
      <c r="L149" s="27"/>
      <c r="M149" s="27"/>
      <c r="N149" s="27"/>
      <c r="O149" s="27"/>
      <c r="P149" s="27"/>
      <c r="Q149" s="27"/>
      <c r="R149" s="27" t="str">
        <f>A150</f>
        <v>RT-019</v>
      </c>
      <c r="S149" s="27" t="s">
        <v>65</v>
      </c>
      <c r="T149" s="27" t="str">
        <f>A151</f>
        <v>RT-020</v>
      </c>
      <c r="U149" s="27" t="s">
        <v>65</v>
      </c>
      <c r="V149" s="27" t="str">
        <f>A152</f>
        <v>RT-021</v>
      </c>
      <c r="W149" s="27" t="s">
        <v>65</v>
      </c>
      <c r="X149" s="27" t="str">
        <f>A153</f>
        <v>RT-022</v>
      </c>
      <c r="Y149" s="27" t="s">
        <v>65</v>
      </c>
      <c r="Z149" s="27"/>
      <c r="AA149" s="27"/>
      <c r="AB149" s="27" t="str">
        <f>A154</f>
        <v>Comp-027</v>
      </c>
      <c r="AC149" s="27" t="s">
        <v>61</v>
      </c>
      <c r="AD149" s="27" t="str">
        <f>A155</f>
        <v>Comp-028</v>
      </c>
      <c r="AE149" s="27" t="s">
        <v>61</v>
      </c>
      <c r="AF149" s="27" t="str">
        <f>A156</f>
        <v>Comp-029</v>
      </c>
      <c r="AG149" s="27" t="s">
        <v>61</v>
      </c>
      <c r="AH149" s="27" t="str">
        <f>A157</f>
        <v>Comp-030</v>
      </c>
      <c r="AI149" s="27" t="s">
        <v>61</v>
      </c>
      <c r="AJ149" s="27"/>
      <c r="AK149" s="27"/>
      <c r="AL149" s="27" t="s">
        <v>603</v>
      </c>
      <c r="AM149" s="27" t="s">
        <v>604</v>
      </c>
    </row>
    <row r="150" spans="1:39" x14ac:dyDescent="0.35">
      <c r="A150" s="27" t="s">
        <v>607</v>
      </c>
      <c r="B150" s="27">
        <v>21</v>
      </c>
      <c r="C150" s="27" t="s">
        <v>32</v>
      </c>
      <c r="D150" s="27" t="s">
        <v>297</v>
      </c>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t="str">
        <f>A154</f>
        <v>Comp-027</v>
      </c>
      <c r="AC150" s="27" t="s">
        <v>61</v>
      </c>
      <c r="AD150" s="27"/>
      <c r="AE150" s="27"/>
      <c r="AF150" s="27"/>
      <c r="AG150" s="27"/>
      <c r="AH150" s="27"/>
      <c r="AI150" s="27"/>
      <c r="AJ150" s="27"/>
      <c r="AK150" s="27"/>
      <c r="AL150" s="27" t="s">
        <v>603</v>
      </c>
      <c r="AM150" s="27" t="s">
        <v>604</v>
      </c>
    </row>
    <row r="151" spans="1:39" x14ac:dyDescent="0.35">
      <c r="A151" s="27" t="s">
        <v>608</v>
      </c>
      <c r="B151" s="27">
        <v>21</v>
      </c>
      <c r="C151" s="27" t="s">
        <v>32</v>
      </c>
      <c r="D151" s="27" t="s">
        <v>298</v>
      </c>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t="str">
        <f>A155</f>
        <v>Comp-028</v>
      </c>
      <c r="AC151" s="27" t="s">
        <v>61</v>
      </c>
      <c r="AD151" s="27"/>
      <c r="AE151" s="27"/>
      <c r="AF151" s="27"/>
      <c r="AG151" s="27"/>
      <c r="AH151" s="27"/>
      <c r="AI151" s="27"/>
      <c r="AJ151" s="27"/>
      <c r="AK151" s="27"/>
      <c r="AL151" s="27" t="s">
        <v>603</v>
      </c>
      <c r="AM151" s="27" t="s">
        <v>604</v>
      </c>
    </row>
    <row r="152" spans="1:39" x14ac:dyDescent="0.35">
      <c r="A152" s="27" t="s">
        <v>609</v>
      </c>
      <c r="B152" s="27">
        <v>21</v>
      </c>
      <c r="C152" s="27" t="s">
        <v>32</v>
      </c>
      <c r="D152" s="27" t="s">
        <v>299</v>
      </c>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t="str">
        <f>A156</f>
        <v>Comp-029</v>
      </c>
      <c r="AC152" s="27" t="s">
        <v>61</v>
      </c>
      <c r="AD152" s="27"/>
      <c r="AE152" s="27"/>
      <c r="AF152" s="27"/>
      <c r="AG152" s="27"/>
      <c r="AH152" s="27"/>
      <c r="AI152" s="27"/>
      <c r="AJ152" s="27"/>
      <c r="AK152" s="27"/>
      <c r="AL152" s="27" t="s">
        <v>603</v>
      </c>
      <c r="AM152" s="27" t="s">
        <v>604</v>
      </c>
    </row>
    <row r="153" spans="1:39" x14ac:dyDescent="0.35">
      <c r="A153" s="27" t="s">
        <v>610</v>
      </c>
      <c r="B153" s="27">
        <v>21</v>
      </c>
      <c r="C153" s="27" t="s">
        <v>32</v>
      </c>
      <c r="D153" s="27" t="s">
        <v>300</v>
      </c>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t="str">
        <f>A157</f>
        <v>Comp-030</v>
      </c>
      <c r="AC153" s="27" t="s">
        <v>61</v>
      </c>
      <c r="AD153" s="27"/>
      <c r="AE153" s="27"/>
      <c r="AF153" s="27"/>
      <c r="AG153" s="27"/>
      <c r="AH153" s="27"/>
      <c r="AI153" s="27"/>
      <c r="AJ153" s="27"/>
      <c r="AK153" s="27"/>
      <c r="AL153" s="27" t="s">
        <v>603</v>
      </c>
      <c r="AM153" s="27" t="s">
        <v>604</v>
      </c>
    </row>
    <row r="154" spans="1:39" x14ac:dyDescent="0.35">
      <c r="A154" s="34" t="s">
        <v>611</v>
      </c>
      <c r="B154" s="27">
        <v>21</v>
      </c>
      <c r="C154" s="27" t="s">
        <v>36</v>
      </c>
      <c r="D154" s="27" t="s">
        <v>301</v>
      </c>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t="s">
        <v>603</v>
      </c>
      <c r="AM154" s="27" t="s">
        <v>604</v>
      </c>
    </row>
    <row r="155" spans="1:39" x14ac:dyDescent="0.35">
      <c r="A155" s="34" t="s">
        <v>612</v>
      </c>
      <c r="B155" s="27">
        <v>21</v>
      </c>
      <c r="C155" s="27" t="s">
        <v>36</v>
      </c>
      <c r="D155" s="27" t="s">
        <v>302</v>
      </c>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t="s">
        <v>603</v>
      </c>
      <c r="AM155" s="27" t="s">
        <v>604</v>
      </c>
    </row>
    <row r="156" spans="1:39" x14ac:dyDescent="0.35">
      <c r="A156" s="34" t="s">
        <v>613</v>
      </c>
      <c r="B156" s="27">
        <v>21</v>
      </c>
      <c r="C156" s="27" t="s">
        <v>36</v>
      </c>
      <c r="D156" s="27" t="s">
        <v>303</v>
      </c>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t="s">
        <v>603</v>
      </c>
      <c r="AM156" s="27" t="s">
        <v>604</v>
      </c>
    </row>
    <row r="157" spans="1:39" x14ac:dyDescent="0.35">
      <c r="A157" s="34" t="s">
        <v>614</v>
      </c>
      <c r="B157" s="27">
        <v>21</v>
      </c>
      <c r="C157" s="27" t="s">
        <v>36</v>
      </c>
      <c r="D157" s="27" t="s">
        <v>304</v>
      </c>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t="s">
        <v>603</v>
      </c>
      <c r="AM157" s="27" t="s">
        <v>604</v>
      </c>
    </row>
    <row r="158" spans="1:39" ht="29" x14ac:dyDescent="0.35">
      <c r="A158" s="27" t="s">
        <v>615</v>
      </c>
      <c r="B158" s="27">
        <v>21</v>
      </c>
      <c r="C158" s="27" t="s">
        <v>32</v>
      </c>
      <c r="D158" s="27" t="s">
        <v>305</v>
      </c>
      <c r="E158" s="27" t="s">
        <v>156</v>
      </c>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t="s">
        <v>603</v>
      </c>
      <c r="AM158" s="27" t="s">
        <v>604</v>
      </c>
    </row>
    <row r="159" spans="1:39" x14ac:dyDescent="0.35">
      <c r="A159" s="34" t="s">
        <v>616</v>
      </c>
      <c r="B159" s="27">
        <v>21</v>
      </c>
      <c r="C159" s="27" t="s">
        <v>79</v>
      </c>
      <c r="D159" s="27" t="s">
        <v>306</v>
      </c>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t="s">
        <v>603</v>
      </c>
      <c r="AM159" s="27" t="s">
        <v>604</v>
      </c>
    </row>
    <row r="160" spans="1:39" ht="29" x14ac:dyDescent="0.35">
      <c r="A160" s="34" t="s">
        <v>617</v>
      </c>
      <c r="B160" s="27">
        <v>21</v>
      </c>
      <c r="C160" s="27" t="s">
        <v>79</v>
      </c>
      <c r="D160" s="27" t="s">
        <v>307</v>
      </c>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t="s">
        <v>603</v>
      </c>
      <c r="AM160" s="27" t="s">
        <v>604</v>
      </c>
    </row>
    <row r="161" spans="1:39" ht="58" x14ac:dyDescent="0.35">
      <c r="A161" s="34" t="s">
        <v>618</v>
      </c>
      <c r="B161" s="27">
        <v>22</v>
      </c>
      <c r="C161" s="27" t="s">
        <v>6</v>
      </c>
      <c r="D161" s="27" t="s">
        <v>308</v>
      </c>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t="s">
        <v>603</v>
      </c>
      <c r="AM161" s="27" t="s">
        <v>604</v>
      </c>
    </row>
    <row r="162" spans="1:39" ht="101.5" x14ac:dyDescent="0.35">
      <c r="A162" s="27" t="s">
        <v>619</v>
      </c>
      <c r="B162" s="27">
        <v>22</v>
      </c>
      <c r="C162" s="27" t="s">
        <v>4</v>
      </c>
      <c r="D162" s="27" t="s">
        <v>309</v>
      </c>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t="s">
        <v>603</v>
      </c>
      <c r="AM162" s="27" t="s">
        <v>604</v>
      </c>
    </row>
    <row r="163" spans="1:39" ht="116" x14ac:dyDescent="0.35">
      <c r="A163" s="27" t="s">
        <v>620</v>
      </c>
      <c r="B163" s="27">
        <v>22</v>
      </c>
      <c r="C163" s="27" t="s">
        <v>4</v>
      </c>
      <c r="D163" s="27" t="s">
        <v>310</v>
      </c>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t="s">
        <v>603</v>
      </c>
      <c r="AM163" s="27" t="s">
        <v>604</v>
      </c>
    </row>
    <row r="164" spans="1:39" x14ac:dyDescent="0.35">
      <c r="A164" s="27" t="s">
        <v>621</v>
      </c>
      <c r="B164" s="27">
        <v>23</v>
      </c>
      <c r="C164" s="27" t="s">
        <v>68</v>
      </c>
      <c r="D164" s="27" t="s">
        <v>311</v>
      </c>
      <c r="E164" s="27" t="str">
        <f>A167</f>
        <v>Ref-046</v>
      </c>
      <c r="F164" s="27"/>
      <c r="G164" s="27"/>
      <c r="H164" s="27"/>
      <c r="I164" s="27"/>
      <c r="J164" s="27"/>
      <c r="K164" s="27"/>
      <c r="L164" s="27"/>
      <c r="M164" s="27"/>
      <c r="N164" s="27"/>
      <c r="O164" s="27"/>
      <c r="P164" s="27"/>
      <c r="Q164" s="27"/>
      <c r="R164" s="27"/>
      <c r="S164" s="27"/>
      <c r="T164" s="27"/>
      <c r="U164" s="27"/>
      <c r="V164" s="27"/>
      <c r="W164" s="27"/>
      <c r="X164" s="27"/>
      <c r="Y164" s="27"/>
      <c r="Z164" s="27"/>
      <c r="AA164" s="27"/>
      <c r="AB164" s="27" t="str">
        <f>A165</f>
        <v>Comp-031</v>
      </c>
      <c r="AC164" s="27" t="s">
        <v>65</v>
      </c>
      <c r="AD164" s="27"/>
      <c r="AE164" s="27"/>
      <c r="AF164" s="27"/>
      <c r="AG164" s="27"/>
      <c r="AH164" s="27"/>
      <c r="AI164" s="27"/>
      <c r="AJ164" s="27"/>
      <c r="AK164" s="27"/>
      <c r="AL164" s="27" t="s">
        <v>622</v>
      </c>
      <c r="AM164" s="27" t="s">
        <v>623</v>
      </c>
    </row>
    <row r="165" spans="1:39" x14ac:dyDescent="0.35">
      <c r="A165" s="34" t="s">
        <v>624</v>
      </c>
      <c r="B165" s="27">
        <v>23</v>
      </c>
      <c r="C165" s="27" t="s">
        <v>36</v>
      </c>
      <c r="D165" s="27" t="s">
        <v>312</v>
      </c>
      <c r="E165" s="27" t="str">
        <f>A167</f>
        <v>Ref-046</v>
      </c>
      <c r="F165" s="27"/>
      <c r="G165" s="27" t="str">
        <f>A168</f>
        <v>Gs-014</v>
      </c>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t="s">
        <v>622</v>
      </c>
      <c r="AM165" s="27" t="s">
        <v>623</v>
      </c>
    </row>
    <row r="166" spans="1:39" x14ac:dyDescent="0.35">
      <c r="A166" s="34" t="s">
        <v>625</v>
      </c>
      <c r="B166" s="27">
        <v>23</v>
      </c>
      <c r="C166" s="27" t="s">
        <v>79</v>
      </c>
      <c r="D166" s="27" t="s">
        <v>255</v>
      </c>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t="s">
        <v>622</v>
      </c>
      <c r="AM166" s="27" t="s">
        <v>623</v>
      </c>
    </row>
    <row r="167" spans="1:39" ht="72.5" x14ac:dyDescent="0.35">
      <c r="A167" s="27" t="s">
        <v>626</v>
      </c>
      <c r="B167" s="27">
        <v>24</v>
      </c>
      <c r="C167" s="27" t="s">
        <v>4</v>
      </c>
      <c r="D167" s="27" t="s">
        <v>313</v>
      </c>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t="s">
        <v>622</v>
      </c>
      <c r="AM167" s="27" t="s">
        <v>623</v>
      </c>
    </row>
    <row r="168" spans="1:39" x14ac:dyDescent="0.35">
      <c r="A168" s="34" t="s">
        <v>627</v>
      </c>
      <c r="B168" s="27">
        <v>24</v>
      </c>
      <c r="C168" s="27" t="s">
        <v>6</v>
      </c>
      <c r="D168" s="27" t="s">
        <v>314</v>
      </c>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t="s">
        <v>622</v>
      </c>
      <c r="AM168" s="27" t="s">
        <v>623</v>
      </c>
    </row>
    <row r="169" spans="1:39" x14ac:dyDescent="0.35">
      <c r="A169" s="27" t="s">
        <v>628</v>
      </c>
      <c r="B169" s="27">
        <v>25</v>
      </c>
      <c r="C169" s="27" t="s">
        <v>68</v>
      </c>
      <c r="D169" s="27" t="s">
        <v>315</v>
      </c>
      <c r="E169" s="27" t="str">
        <f>A178</f>
        <v>Ref-048</v>
      </c>
      <c r="F169" s="27"/>
      <c r="G169" s="27"/>
      <c r="H169" s="27" t="str">
        <f>A170</f>
        <v>Cl-026</v>
      </c>
      <c r="I169" s="27" t="s">
        <v>65</v>
      </c>
      <c r="J169" s="27" t="str">
        <f>A173</f>
        <v>Cl-027</v>
      </c>
      <c r="K169" s="27" t="s">
        <v>65</v>
      </c>
      <c r="L169" s="27"/>
      <c r="M169" s="27"/>
      <c r="N169" s="27"/>
      <c r="O169" s="27"/>
      <c r="P169" s="27"/>
      <c r="Q169" s="27"/>
      <c r="R169" s="27" t="str">
        <f>A172</f>
        <v>RT-024</v>
      </c>
      <c r="S169" s="27" t="s">
        <v>65</v>
      </c>
      <c r="T169" s="27"/>
      <c r="U169" s="27"/>
      <c r="V169" s="27"/>
      <c r="W169" s="27"/>
      <c r="X169" s="27"/>
      <c r="Y169" s="27"/>
      <c r="Z169" s="27"/>
      <c r="AA169" s="27"/>
      <c r="AB169" s="27" t="str">
        <f>A171</f>
        <v>Comp-032</v>
      </c>
      <c r="AC169" s="27" t="s">
        <v>65</v>
      </c>
      <c r="AD169" s="27"/>
      <c r="AE169" s="27"/>
      <c r="AF169" s="27"/>
      <c r="AG169" s="27"/>
      <c r="AH169" s="27"/>
      <c r="AI169" s="27"/>
      <c r="AJ169" s="27"/>
      <c r="AK169" s="27"/>
      <c r="AL169" s="27" t="s">
        <v>629</v>
      </c>
      <c r="AM169" s="27" t="s">
        <v>630</v>
      </c>
    </row>
    <row r="170" spans="1:39" ht="29" x14ac:dyDescent="0.35">
      <c r="A170" s="27" t="s">
        <v>631</v>
      </c>
      <c r="B170" s="27">
        <v>25</v>
      </c>
      <c r="C170" s="27" t="s">
        <v>128</v>
      </c>
      <c r="D170" s="27" t="s">
        <v>316</v>
      </c>
      <c r="E170" s="27" t="str">
        <f>A178</f>
        <v>Ref-048</v>
      </c>
      <c r="F170" s="27" t="str">
        <f>A179</f>
        <v>Fn-031</v>
      </c>
      <c r="G170" s="27" t="str">
        <f>A181</f>
        <v>Gs-017</v>
      </c>
      <c r="H170" s="27"/>
      <c r="I170" s="27"/>
      <c r="J170" s="27"/>
      <c r="K170" s="27"/>
      <c r="L170" s="27"/>
      <c r="M170" s="27"/>
      <c r="N170" s="27"/>
      <c r="O170" s="27"/>
      <c r="P170" s="27"/>
      <c r="Q170" s="27"/>
      <c r="R170" s="27"/>
      <c r="S170" s="27"/>
      <c r="T170" s="27"/>
      <c r="U170" s="27"/>
      <c r="V170" s="27"/>
      <c r="W170" s="27"/>
      <c r="X170" s="27"/>
      <c r="Y170" s="27"/>
      <c r="Z170" s="27"/>
      <c r="AA170" s="27"/>
      <c r="AB170" s="27" t="str">
        <f>A171</f>
        <v>Comp-032</v>
      </c>
      <c r="AC170" s="27" t="s">
        <v>65</v>
      </c>
      <c r="AD170" s="27"/>
      <c r="AE170" s="27"/>
      <c r="AF170" s="27"/>
      <c r="AG170" s="27"/>
      <c r="AH170" s="27"/>
      <c r="AI170" s="27"/>
      <c r="AJ170" s="27"/>
      <c r="AK170" s="27"/>
      <c r="AL170" s="27" t="s">
        <v>629</v>
      </c>
      <c r="AM170" s="27" t="s">
        <v>630</v>
      </c>
    </row>
    <row r="171" spans="1:39" x14ac:dyDescent="0.35">
      <c r="A171" s="34" t="s">
        <v>632</v>
      </c>
      <c r="B171" s="27">
        <v>25</v>
      </c>
      <c r="C171" s="27" t="s">
        <v>36</v>
      </c>
      <c r="D171" s="27" t="s">
        <v>633</v>
      </c>
      <c r="E171" s="27" t="str">
        <f>A182</f>
        <v>Ref-049</v>
      </c>
      <c r="F171" s="27" t="str">
        <f>A183</f>
        <v>Fn-032</v>
      </c>
      <c r="G171" s="27" t="str">
        <f>A184</f>
        <v>Gs-018</v>
      </c>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t="s">
        <v>629</v>
      </c>
      <c r="AM171" s="27" t="s">
        <v>630</v>
      </c>
    </row>
    <row r="172" spans="1:39" x14ac:dyDescent="0.35">
      <c r="A172" s="27" t="s">
        <v>634</v>
      </c>
      <c r="B172" s="27">
        <v>25</v>
      </c>
      <c r="C172" s="27" t="s">
        <v>32</v>
      </c>
      <c r="D172" s="27" t="s">
        <v>317</v>
      </c>
      <c r="E172" s="27" t="str">
        <f>A178</f>
        <v>Ref-048</v>
      </c>
      <c r="F172" s="27"/>
      <c r="G172" s="27" t="str">
        <f>A180</f>
        <v>Gs-016</v>
      </c>
      <c r="H172" s="27"/>
      <c r="I172" s="27"/>
      <c r="J172" s="27"/>
      <c r="K172" s="27"/>
      <c r="L172" s="27"/>
      <c r="M172" s="27"/>
      <c r="N172" s="27"/>
      <c r="O172" s="27"/>
      <c r="P172" s="27"/>
      <c r="Q172" s="27"/>
      <c r="R172" s="27"/>
      <c r="S172" s="27"/>
      <c r="T172" s="27"/>
      <c r="U172" s="27"/>
      <c r="V172" s="27"/>
      <c r="W172" s="27"/>
      <c r="X172" s="27"/>
      <c r="Y172" s="27"/>
      <c r="Z172" s="27"/>
      <c r="AA172" s="27"/>
      <c r="AB172" s="27" t="str">
        <f>A171</f>
        <v>Comp-032</v>
      </c>
      <c r="AC172" s="27" t="s">
        <v>65</v>
      </c>
      <c r="AD172" s="27"/>
      <c r="AE172" s="27"/>
      <c r="AF172" s="27"/>
      <c r="AG172" s="27"/>
      <c r="AH172" s="27"/>
      <c r="AI172" s="27"/>
      <c r="AJ172" s="27"/>
      <c r="AK172" s="27"/>
      <c r="AL172" s="27" t="s">
        <v>629</v>
      </c>
      <c r="AM172" s="27" t="s">
        <v>630</v>
      </c>
    </row>
    <row r="173" spans="1:39" ht="58" x14ac:dyDescent="0.35">
      <c r="A173" s="27" t="s">
        <v>635</v>
      </c>
      <c r="B173" s="27">
        <v>25</v>
      </c>
      <c r="C173" s="27" t="s">
        <v>128</v>
      </c>
      <c r="D173" s="27" t="s">
        <v>318</v>
      </c>
      <c r="E173" s="27" t="str">
        <f>A176</f>
        <v>Ref-047</v>
      </c>
      <c r="F173" s="27" t="str">
        <f>A175</f>
        <v>Fn-030</v>
      </c>
      <c r="G173" s="27" t="str">
        <f>A177</f>
        <v>Gs-015</v>
      </c>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t="s">
        <v>629</v>
      </c>
      <c r="AM173" s="27" t="s">
        <v>630</v>
      </c>
    </row>
    <row r="174" spans="1:39" ht="29" x14ac:dyDescent="0.35">
      <c r="A174" s="27" t="s">
        <v>636</v>
      </c>
      <c r="B174" s="27">
        <v>25</v>
      </c>
      <c r="C174" s="27" t="s">
        <v>32</v>
      </c>
      <c r="D174" s="27" t="s">
        <v>319</v>
      </c>
      <c r="E174" s="27" t="str">
        <f>A42</f>
        <v>Ref-007</v>
      </c>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t="s">
        <v>629</v>
      </c>
      <c r="AM174" s="27" t="s">
        <v>630</v>
      </c>
    </row>
    <row r="175" spans="1:39" ht="43.5" x14ac:dyDescent="0.35">
      <c r="A175" s="34" t="s">
        <v>637</v>
      </c>
      <c r="B175" s="27">
        <v>25</v>
      </c>
      <c r="C175" s="27" t="s">
        <v>79</v>
      </c>
      <c r="D175" s="27" t="s">
        <v>320</v>
      </c>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t="s">
        <v>629</v>
      </c>
      <c r="AM175" s="27" t="s">
        <v>630</v>
      </c>
    </row>
    <row r="176" spans="1:39" ht="116" x14ac:dyDescent="0.35">
      <c r="A176" s="27" t="s">
        <v>638</v>
      </c>
      <c r="B176" s="27">
        <v>26</v>
      </c>
      <c r="C176" s="27" t="s">
        <v>4</v>
      </c>
      <c r="D176" s="27" t="s">
        <v>321</v>
      </c>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t="s">
        <v>629</v>
      </c>
      <c r="AM176" s="27" t="s">
        <v>630</v>
      </c>
    </row>
    <row r="177" spans="1:39" ht="58" x14ac:dyDescent="0.35">
      <c r="A177" s="34" t="s">
        <v>639</v>
      </c>
      <c r="B177" s="27">
        <v>26</v>
      </c>
      <c r="C177" s="27" t="s">
        <v>6</v>
      </c>
      <c r="D177" s="27" t="s">
        <v>322</v>
      </c>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t="s">
        <v>629</v>
      </c>
      <c r="AM177" s="27" t="s">
        <v>630</v>
      </c>
    </row>
    <row r="178" spans="1:39" ht="101.5" x14ac:dyDescent="0.35">
      <c r="A178" s="27" t="s">
        <v>640</v>
      </c>
      <c r="B178" s="27">
        <v>26</v>
      </c>
      <c r="C178" s="27" t="s">
        <v>4</v>
      </c>
      <c r="D178" s="27" t="s">
        <v>323</v>
      </c>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t="s">
        <v>629</v>
      </c>
      <c r="AM178" s="27" t="s">
        <v>630</v>
      </c>
    </row>
    <row r="179" spans="1:39" ht="29" x14ac:dyDescent="0.35">
      <c r="A179" s="34" t="s">
        <v>641</v>
      </c>
      <c r="B179" s="27">
        <v>25</v>
      </c>
      <c r="C179" s="27" t="s">
        <v>79</v>
      </c>
      <c r="D179" s="27" t="s">
        <v>324</v>
      </c>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t="s">
        <v>629</v>
      </c>
      <c r="AM179" s="27" t="s">
        <v>630</v>
      </c>
    </row>
    <row r="180" spans="1:39" x14ac:dyDescent="0.35">
      <c r="A180" s="34" t="s">
        <v>642</v>
      </c>
      <c r="B180" s="27">
        <v>26</v>
      </c>
      <c r="C180" s="27" t="s">
        <v>6</v>
      </c>
      <c r="D180" s="27" t="s">
        <v>325</v>
      </c>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t="s">
        <v>629</v>
      </c>
      <c r="AM180" s="27" t="s">
        <v>630</v>
      </c>
    </row>
    <row r="181" spans="1:39" ht="87" x14ac:dyDescent="0.35">
      <c r="A181" s="34" t="s">
        <v>643</v>
      </c>
      <c r="B181" s="27">
        <v>26</v>
      </c>
      <c r="C181" s="27" t="s">
        <v>6</v>
      </c>
      <c r="D181" s="27" t="s">
        <v>326</v>
      </c>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t="s">
        <v>629</v>
      </c>
      <c r="AM181" s="27" t="s">
        <v>630</v>
      </c>
    </row>
    <row r="182" spans="1:39" ht="101.5" x14ac:dyDescent="0.35">
      <c r="A182" s="27" t="s">
        <v>644</v>
      </c>
      <c r="B182" s="27">
        <v>26</v>
      </c>
      <c r="C182" s="27" t="s">
        <v>4</v>
      </c>
      <c r="D182" s="27" t="s">
        <v>328</v>
      </c>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t="s">
        <v>629</v>
      </c>
      <c r="AM182" s="27" t="s">
        <v>630</v>
      </c>
    </row>
    <row r="183" spans="1:39" ht="145" x14ac:dyDescent="0.35">
      <c r="A183" s="34" t="s">
        <v>645</v>
      </c>
      <c r="B183" s="27">
        <v>25</v>
      </c>
      <c r="C183" s="32" t="s">
        <v>79</v>
      </c>
      <c r="D183" s="27" t="s">
        <v>330</v>
      </c>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t="s">
        <v>629</v>
      </c>
      <c r="AM183" s="27" t="s">
        <v>630</v>
      </c>
    </row>
    <row r="184" spans="1:39" ht="130.5" x14ac:dyDescent="0.35">
      <c r="A184" s="34" t="s">
        <v>646</v>
      </c>
      <c r="B184" s="27">
        <v>26</v>
      </c>
      <c r="C184" s="27" t="s">
        <v>6</v>
      </c>
      <c r="D184" s="27" t="s">
        <v>332</v>
      </c>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t="s">
        <v>629</v>
      </c>
      <c r="AM184" s="27" t="s">
        <v>630</v>
      </c>
    </row>
    <row r="185" spans="1:39" ht="29" x14ac:dyDescent="0.35">
      <c r="A185" s="27" t="s">
        <v>647</v>
      </c>
      <c r="B185" s="27">
        <v>27</v>
      </c>
      <c r="C185" s="27" t="s">
        <v>68</v>
      </c>
      <c r="D185" s="28" t="s">
        <v>334</v>
      </c>
      <c r="E185" s="27" t="str">
        <f>A187</f>
        <v>Ref-050</v>
      </c>
      <c r="F185" s="27" t="str">
        <f>A188</f>
        <v>Fn-033</v>
      </c>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t="s">
        <v>648</v>
      </c>
      <c r="AM185" s="27" t="s">
        <v>649</v>
      </c>
    </row>
    <row r="186" spans="1:39" x14ac:dyDescent="0.35">
      <c r="A186" s="27" t="s">
        <v>650</v>
      </c>
      <c r="B186" s="27">
        <v>27</v>
      </c>
      <c r="C186" s="27" t="s">
        <v>68</v>
      </c>
      <c r="D186" s="28" t="s">
        <v>651</v>
      </c>
      <c r="E186" s="27" t="str">
        <f>A189</f>
        <v>Ref-124</v>
      </c>
      <c r="F186" s="27" t="str">
        <f>A200</f>
        <v>Fn-112</v>
      </c>
      <c r="G186" s="27"/>
      <c r="H186" s="27"/>
      <c r="I186" s="27"/>
      <c r="J186" s="27"/>
      <c r="K186" s="27"/>
      <c r="L186" s="27"/>
      <c r="M186" s="27"/>
      <c r="N186" s="27"/>
      <c r="O186" s="27"/>
      <c r="P186" s="27"/>
      <c r="Q186" s="27"/>
      <c r="R186" s="27"/>
      <c r="S186" s="27"/>
      <c r="T186" s="27"/>
      <c r="U186" s="27"/>
      <c r="V186" s="27"/>
      <c r="W186" s="27"/>
      <c r="X186" s="27"/>
      <c r="Y186" s="27"/>
      <c r="Z186" s="27"/>
      <c r="AA186" s="27"/>
      <c r="AB186" s="27" t="str">
        <f>A199</f>
        <v>Comp-035</v>
      </c>
      <c r="AC186" s="27" t="s">
        <v>61</v>
      </c>
      <c r="AD186" s="27"/>
      <c r="AE186" s="27"/>
      <c r="AF186" s="27"/>
      <c r="AG186" s="27"/>
      <c r="AH186" s="27"/>
      <c r="AI186" s="27"/>
      <c r="AJ186" s="27"/>
      <c r="AK186" s="27"/>
      <c r="AL186" s="27"/>
      <c r="AM186" s="27"/>
    </row>
    <row r="187" spans="1:39" ht="29" x14ac:dyDescent="0.35">
      <c r="A187" s="27" t="s">
        <v>652</v>
      </c>
      <c r="B187" s="27">
        <v>28</v>
      </c>
      <c r="C187" s="27" t="s">
        <v>4</v>
      </c>
      <c r="D187" s="27" t="s">
        <v>335</v>
      </c>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t="s">
        <v>648</v>
      </c>
      <c r="AM187" s="27" t="s">
        <v>649</v>
      </c>
    </row>
    <row r="188" spans="1:39" ht="116" x14ac:dyDescent="0.35">
      <c r="A188" s="34" t="s">
        <v>653</v>
      </c>
      <c r="B188" s="27">
        <v>27</v>
      </c>
      <c r="C188" s="27" t="s">
        <v>79</v>
      </c>
      <c r="D188" s="28" t="s">
        <v>336</v>
      </c>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t="s">
        <v>648</v>
      </c>
      <c r="AM188" s="27" t="s">
        <v>649</v>
      </c>
    </row>
    <row r="189" spans="1:39" ht="29" x14ac:dyDescent="0.35">
      <c r="A189" s="34" t="s">
        <v>654</v>
      </c>
      <c r="B189" s="27">
        <v>28</v>
      </c>
      <c r="C189" s="27" t="s">
        <v>4</v>
      </c>
      <c r="D189" s="27" t="s">
        <v>655</v>
      </c>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row>
    <row r="190" spans="1:39" ht="29" x14ac:dyDescent="0.35">
      <c r="A190" s="27" t="s">
        <v>656</v>
      </c>
      <c r="B190" s="27">
        <v>28</v>
      </c>
      <c r="C190" s="27" t="s">
        <v>4</v>
      </c>
      <c r="D190" s="27" t="s">
        <v>335</v>
      </c>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t="s">
        <v>648</v>
      </c>
      <c r="AM190" s="27" t="s">
        <v>649</v>
      </c>
    </row>
    <row r="191" spans="1:39" ht="58" x14ac:dyDescent="0.35">
      <c r="A191" s="34" t="s">
        <v>657</v>
      </c>
      <c r="B191" s="27">
        <v>27</v>
      </c>
      <c r="C191" s="27" t="s">
        <v>79</v>
      </c>
      <c r="D191" s="27" t="s">
        <v>337</v>
      </c>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t="s">
        <v>648</v>
      </c>
      <c r="AM191" s="27" t="s">
        <v>649</v>
      </c>
    </row>
    <row r="192" spans="1:39" ht="29" x14ac:dyDescent="0.35">
      <c r="A192" s="34" t="s">
        <v>658</v>
      </c>
      <c r="B192" s="27">
        <v>28</v>
      </c>
      <c r="C192" s="27" t="s">
        <v>6</v>
      </c>
      <c r="D192" s="27" t="s">
        <v>338</v>
      </c>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t="s">
        <v>648</v>
      </c>
      <c r="AM192" s="27" t="s">
        <v>649</v>
      </c>
    </row>
    <row r="193" spans="1:39" ht="29" x14ac:dyDescent="0.35">
      <c r="A193" s="27" t="s">
        <v>659</v>
      </c>
      <c r="B193" s="27">
        <v>27</v>
      </c>
      <c r="C193" s="27" t="s">
        <v>68</v>
      </c>
      <c r="D193" s="28" t="s">
        <v>340</v>
      </c>
      <c r="E193" s="27" t="str">
        <f>A187</f>
        <v>Ref-050</v>
      </c>
      <c r="F193" s="27" t="str">
        <f>A191</f>
        <v>Fn-034</v>
      </c>
      <c r="G193" s="27" t="str">
        <f>A192</f>
        <v>Gs-019</v>
      </c>
      <c r="H193" s="27"/>
      <c r="I193" s="27"/>
      <c r="J193" s="27"/>
      <c r="K193" s="27"/>
      <c r="L193" s="27"/>
      <c r="M193" s="27"/>
      <c r="N193" s="27"/>
      <c r="O193" s="27"/>
      <c r="P193" s="27"/>
      <c r="Q193" s="27"/>
      <c r="R193" s="27"/>
      <c r="S193" s="27"/>
      <c r="T193" s="27"/>
      <c r="U193" s="27"/>
      <c r="V193" s="27"/>
      <c r="W193" s="27"/>
      <c r="X193" s="27"/>
      <c r="Y193" s="27"/>
      <c r="Z193" s="27"/>
      <c r="AA193" s="27"/>
      <c r="AB193" s="27" t="str">
        <f>A198</f>
        <v>Comp-034</v>
      </c>
      <c r="AC193" s="27" t="s">
        <v>61</v>
      </c>
      <c r="AD193" s="27"/>
      <c r="AE193" s="27"/>
      <c r="AF193" s="27"/>
      <c r="AG193" s="27"/>
      <c r="AH193" s="27"/>
      <c r="AI193" s="27"/>
      <c r="AJ193" s="27"/>
      <c r="AK193" s="27"/>
      <c r="AL193" s="27" t="s">
        <v>648</v>
      </c>
      <c r="AM193" s="27" t="s">
        <v>649</v>
      </c>
    </row>
    <row r="194" spans="1:39" ht="29" x14ac:dyDescent="0.35">
      <c r="A194" s="27" t="s">
        <v>660</v>
      </c>
      <c r="B194" s="27">
        <v>27</v>
      </c>
      <c r="C194" s="27" t="s">
        <v>68</v>
      </c>
      <c r="D194" s="27" t="s">
        <v>341</v>
      </c>
      <c r="E194" s="27" t="str">
        <f>A196</f>
        <v>Ref-125</v>
      </c>
      <c r="F194" s="27" t="str">
        <f>A195</f>
        <v>Fn-111</v>
      </c>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t="s">
        <v>648</v>
      </c>
      <c r="AM194" s="27" t="s">
        <v>649</v>
      </c>
    </row>
    <row r="195" spans="1:39" ht="29" x14ac:dyDescent="0.35">
      <c r="A195" s="27" t="s">
        <v>661</v>
      </c>
      <c r="B195" s="27">
        <v>27</v>
      </c>
      <c r="C195" s="27" t="s">
        <v>79</v>
      </c>
      <c r="D195" s="27" t="s">
        <v>94</v>
      </c>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row>
    <row r="196" spans="1:39" x14ac:dyDescent="0.35">
      <c r="A196" s="34" t="s">
        <v>662</v>
      </c>
      <c r="B196" s="27">
        <v>27</v>
      </c>
      <c r="C196" s="27" t="s">
        <v>4</v>
      </c>
      <c r="D196" s="27" t="s">
        <v>663</v>
      </c>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row>
    <row r="197" spans="1:39" ht="29" x14ac:dyDescent="0.35">
      <c r="A197" s="34" t="s">
        <v>664</v>
      </c>
      <c r="B197" s="27">
        <v>27</v>
      </c>
      <c r="C197" s="27" t="s">
        <v>36</v>
      </c>
      <c r="D197" s="27" t="s">
        <v>665</v>
      </c>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t="s">
        <v>648</v>
      </c>
      <c r="AM197" s="27" t="s">
        <v>649</v>
      </c>
    </row>
    <row r="198" spans="1:39" ht="29" x14ac:dyDescent="0.35">
      <c r="A198" s="34" t="s">
        <v>666</v>
      </c>
      <c r="B198" s="27">
        <v>27</v>
      </c>
      <c r="C198" s="27" t="s">
        <v>36</v>
      </c>
      <c r="D198" s="27" t="s">
        <v>667</v>
      </c>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t="s">
        <v>648</v>
      </c>
      <c r="AM198" s="27" t="s">
        <v>649</v>
      </c>
    </row>
    <row r="199" spans="1:39" ht="29" x14ac:dyDescent="0.35">
      <c r="A199" s="34" t="s">
        <v>668</v>
      </c>
      <c r="B199" s="27">
        <v>27</v>
      </c>
      <c r="C199" s="27" t="s">
        <v>36</v>
      </c>
      <c r="D199" s="27" t="s">
        <v>669</v>
      </c>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t="s">
        <v>648</v>
      </c>
      <c r="AM199" s="27" t="s">
        <v>649</v>
      </c>
    </row>
    <row r="200" spans="1:39" ht="72.5" x14ac:dyDescent="0.35">
      <c r="A200" s="34" t="s">
        <v>670</v>
      </c>
      <c r="B200" s="27">
        <v>27</v>
      </c>
      <c r="C200" s="27" t="s">
        <v>79</v>
      </c>
      <c r="D200" s="27" t="s">
        <v>671</v>
      </c>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row>
    <row r="201" spans="1:39" x14ac:dyDescent="0.35">
      <c r="A201" s="27" t="s">
        <v>672</v>
      </c>
      <c r="B201" s="27">
        <v>29</v>
      </c>
      <c r="C201" s="27" t="s">
        <v>68</v>
      </c>
      <c r="D201" s="28" t="s">
        <v>339</v>
      </c>
      <c r="E201" s="27" t="str">
        <f>A206</f>
        <v>Ref-052</v>
      </c>
      <c r="F201" s="27" t="str">
        <f>A208</f>
        <v>Fn-035</v>
      </c>
      <c r="G201" s="27" t="str">
        <f>A210</f>
        <v>Gs-020</v>
      </c>
      <c r="H201" s="27" t="str">
        <f>A202</f>
        <v>Cl-034</v>
      </c>
      <c r="I201" s="27" t="s">
        <v>65</v>
      </c>
      <c r="J201" s="27" t="str">
        <f>A203</f>
        <v>Cl-035</v>
      </c>
      <c r="K201" s="27" t="s">
        <v>65</v>
      </c>
      <c r="L201" s="27" t="str">
        <f>A204</f>
        <v>Cl-036</v>
      </c>
      <c r="M201" s="27" t="s">
        <v>65</v>
      </c>
      <c r="N201" s="27"/>
      <c r="O201" s="27"/>
      <c r="P201" s="27"/>
      <c r="Q201" s="27"/>
      <c r="R201" s="27" t="str">
        <f>A205</f>
        <v>RT-026</v>
      </c>
      <c r="S201" s="27" t="s">
        <v>65</v>
      </c>
      <c r="T201" s="27"/>
      <c r="U201" s="27"/>
      <c r="V201" s="27"/>
      <c r="W201" s="27"/>
      <c r="X201" s="27"/>
      <c r="Y201" s="27"/>
      <c r="Z201" s="27"/>
      <c r="AA201" s="27"/>
      <c r="AB201" s="27" t="str">
        <f>A214</f>
        <v>Comp-036</v>
      </c>
      <c r="AC201" s="27" t="s">
        <v>65</v>
      </c>
      <c r="AD201" s="27" t="str">
        <f>A215</f>
        <v>Comp-037</v>
      </c>
      <c r="AE201" s="27" t="s">
        <v>65</v>
      </c>
      <c r="AF201" s="27" t="str">
        <f>A197</f>
        <v>Comp-033</v>
      </c>
      <c r="AG201" s="27" t="s">
        <v>61</v>
      </c>
      <c r="AH201" s="27"/>
      <c r="AI201" s="27"/>
      <c r="AJ201" s="27"/>
      <c r="AK201" s="27"/>
      <c r="AL201" s="27" t="s">
        <v>673</v>
      </c>
      <c r="AM201" s="27" t="s">
        <v>674</v>
      </c>
    </row>
    <row r="202" spans="1:39" ht="29" x14ac:dyDescent="0.35">
      <c r="A202" s="27" t="s">
        <v>675</v>
      </c>
      <c r="B202" s="27">
        <v>29</v>
      </c>
      <c r="C202" s="27" t="s">
        <v>128</v>
      </c>
      <c r="D202" s="28" t="s">
        <v>342</v>
      </c>
      <c r="E202" s="27" t="str">
        <f>A207</f>
        <v>Ref-053</v>
      </c>
      <c r="F202" s="27" t="str">
        <f>A213</f>
        <v>Fn-037</v>
      </c>
      <c r="G202" s="27" t="str">
        <f>A212</f>
        <v>Gs-022</v>
      </c>
      <c r="H202" s="27"/>
      <c r="I202" s="27"/>
      <c r="J202" s="27"/>
      <c r="K202" s="27"/>
      <c r="L202" s="27"/>
      <c r="M202" s="27"/>
      <c r="N202" s="27"/>
      <c r="O202" s="27"/>
      <c r="P202" s="27"/>
      <c r="Q202" s="27"/>
      <c r="R202" s="27"/>
      <c r="S202" s="27"/>
      <c r="T202" s="27"/>
      <c r="U202" s="27"/>
      <c r="V202" s="27"/>
      <c r="W202" s="27"/>
      <c r="X202" s="27"/>
      <c r="Y202" s="27"/>
      <c r="Z202" s="27"/>
      <c r="AA202" s="27"/>
      <c r="AB202" s="27" t="str">
        <f>A216</f>
        <v>Comp-038</v>
      </c>
      <c r="AC202" s="27" t="s">
        <v>61</v>
      </c>
      <c r="AD202" s="27" t="str">
        <f>A217</f>
        <v>Comp-039</v>
      </c>
      <c r="AE202" s="27" t="s">
        <v>61</v>
      </c>
      <c r="AF202" s="27"/>
      <c r="AG202" s="27"/>
      <c r="AH202" s="27"/>
      <c r="AI202" s="27"/>
      <c r="AJ202" s="27"/>
      <c r="AK202" s="27"/>
      <c r="AL202" s="27" t="s">
        <v>673</v>
      </c>
      <c r="AM202" s="27" t="s">
        <v>674</v>
      </c>
    </row>
    <row r="203" spans="1:39" x14ac:dyDescent="0.35">
      <c r="A203" s="27" t="s">
        <v>676</v>
      </c>
      <c r="B203" s="27">
        <v>29</v>
      </c>
      <c r="C203" s="27" t="s">
        <v>128</v>
      </c>
      <c r="D203" s="28" t="s">
        <v>343</v>
      </c>
      <c r="E203" s="27" t="str">
        <f>A206</f>
        <v>Ref-052</v>
      </c>
      <c r="F203" s="27"/>
      <c r="G203" s="27" t="str">
        <f>A210</f>
        <v>Gs-020</v>
      </c>
      <c r="H203" s="27"/>
      <c r="I203" s="27"/>
      <c r="J203" s="27"/>
      <c r="K203" s="27"/>
      <c r="L203" s="27"/>
      <c r="M203" s="27"/>
      <c r="N203" s="27"/>
      <c r="O203" s="27"/>
      <c r="P203" s="27"/>
      <c r="Q203" s="27"/>
      <c r="R203" s="27"/>
      <c r="S203" s="27"/>
      <c r="T203" s="27"/>
      <c r="U203" s="27"/>
      <c r="V203" s="27"/>
      <c r="W203" s="27"/>
      <c r="X203" s="27"/>
      <c r="Y203" s="27"/>
      <c r="Z203" s="27"/>
      <c r="AA203" s="27"/>
      <c r="AB203" s="27" t="str">
        <f>A214</f>
        <v>Comp-036</v>
      </c>
      <c r="AC203" s="27" t="s">
        <v>65</v>
      </c>
      <c r="AD203" s="27"/>
      <c r="AE203" s="27"/>
      <c r="AF203" s="27"/>
      <c r="AG203" s="27"/>
      <c r="AH203" s="27"/>
      <c r="AI203" s="27"/>
      <c r="AJ203" s="27"/>
      <c r="AK203" s="27"/>
      <c r="AL203" s="27" t="s">
        <v>673</v>
      </c>
      <c r="AM203" s="27" t="s">
        <v>674</v>
      </c>
    </row>
    <row r="204" spans="1:39" x14ac:dyDescent="0.35">
      <c r="A204" s="27" t="s">
        <v>677</v>
      </c>
      <c r="B204" s="27">
        <v>29</v>
      </c>
      <c r="C204" s="27" t="s">
        <v>128</v>
      </c>
      <c r="D204" s="28" t="s">
        <v>344</v>
      </c>
      <c r="E204" s="27" t="str">
        <f>A206</f>
        <v>Ref-052</v>
      </c>
      <c r="F204" s="27"/>
      <c r="G204" s="27" t="str">
        <f>A210</f>
        <v>Gs-020</v>
      </c>
      <c r="H204" s="27"/>
      <c r="I204" s="27"/>
      <c r="J204" s="27"/>
      <c r="K204" s="27"/>
      <c r="L204" s="27"/>
      <c r="M204" s="27"/>
      <c r="N204" s="27"/>
      <c r="O204" s="27"/>
      <c r="P204" s="27"/>
      <c r="Q204" s="27"/>
      <c r="R204" s="27"/>
      <c r="S204" s="27"/>
      <c r="T204" s="27"/>
      <c r="U204" s="27"/>
      <c r="V204" s="27"/>
      <c r="W204" s="27"/>
      <c r="X204" s="27"/>
      <c r="Y204" s="27"/>
      <c r="Z204" s="27"/>
      <c r="AA204" s="27"/>
      <c r="AB204" s="27" t="str">
        <f>A215</f>
        <v>Comp-037</v>
      </c>
      <c r="AC204" s="27" t="s">
        <v>65</v>
      </c>
      <c r="AD204" s="27"/>
      <c r="AE204" s="27"/>
      <c r="AF204" s="27"/>
      <c r="AG204" s="27"/>
      <c r="AH204" s="27"/>
      <c r="AI204" s="27"/>
      <c r="AJ204" s="27"/>
      <c r="AK204" s="27"/>
      <c r="AL204" s="27" t="s">
        <v>673</v>
      </c>
      <c r="AM204" s="27" t="s">
        <v>674</v>
      </c>
    </row>
    <row r="205" spans="1:39" x14ac:dyDescent="0.35">
      <c r="A205" s="27" t="s">
        <v>678</v>
      </c>
      <c r="B205" s="27">
        <v>29</v>
      </c>
      <c r="C205" s="27" t="s">
        <v>32</v>
      </c>
      <c r="D205" s="28" t="s">
        <v>345</v>
      </c>
      <c r="E205" s="27" t="str">
        <f>A206</f>
        <v>Ref-052</v>
      </c>
      <c r="F205" s="27" t="str">
        <f>A213</f>
        <v>Fn-037</v>
      </c>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t="s">
        <v>673</v>
      </c>
      <c r="AM205" s="27" t="s">
        <v>674</v>
      </c>
    </row>
    <row r="206" spans="1:39" x14ac:dyDescent="0.35">
      <c r="A206" s="27" t="s">
        <v>679</v>
      </c>
      <c r="B206" s="27">
        <v>30</v>
      </c>
      <c r="C206" s="27" t="s">
        <v>4</v>
      </c>
      <c r="D206" s="27" t="s">
        <v>346</v>
      </c>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t="s">
        <v>673</v>
      </c>
      <c r="AM206" s="27" t="s">
        <v>674</v>
      </c>
    </row>
    <row r="207" spans="1:39" ht="29" x14ac:dyDescent="0.35">
      <c r="A207" s="27" t="s">
        <v>680</v>
      </c>
      <c r="B207" s="27">
        <v>30</v>
      </c>
      <c r="C207" s="27" t="s">
        <v>4</v>
      </c>
      <c r="D207" s="27" t="s">
        <v>347</v>
      </c>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t="s">
        <v>673</v>
      </c>
      <c r="AM207" s="27" t="s">
        <v>674</v>
      </c>
    </row>
    <row r="208" spans="1:39" ht="29" x14ac:dyDescent="0.35">
      <c r="A208" s="34" t="s">
        <v>681</v>
      </c>
      <c r="B208" s="27">
        <v>29</v>
      </c>
      <c r="C208" s="27" t="s">
        <v>79</v>
      </c>
      <c r="D208" s="27" t="s">
        <v>348</v>
      </c>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t="s">
        <v>673</v>
      </c>
      <c r="AM208" s="27" t="s">
        <v>674</v>
      </c>
    </row>
    <row r="209" spans="1:39" x14ac:dyDescent="0.35">
      <c r="A209" s="34" t="s">
        <v>682</v>
      </c>
      <c r="B209" s="27">
        <v>29</v>
      </c>
      <c r="C209" s="27" t="s">
        <v>79</v>
      </c>
      <c r="D209" s="27" t="s">
        <v>683</v>
      </c>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t="s">
        <v>673</v>
      </c>
      <c r="AM209" s="27" t="s">
        <v>674</v>
      </c>
    </row>
    <row r="210" spans="1:39" x14ac:dyDescent="0.35">
      <c r="A210" s="34" t="s">
        <v>684</v>
      </c>
      <c r="B210" s="27">
        <v>30</v>
      </c>
      <c r="C210" s="27" t="s">
        <v>6</v>
      </c>
      <c r="D210" s="27" t="s">
        <v>349</v>
      </c>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t="s">
        <v>673</v>
      </c>
      <c r="AM210" s="27" t="s">
        <v>674</v>
      </c>
    </row>
    <row r="211" spans="1:39" x14ac:dyDescent="0.35">
      <c r="A211" s="34" t="s">
        <v>685</v>
      </c>
      <c r="B211" s="27">
        <v>30</v>
      </c>
      <c r="C211" s="27" t="s">
        <v>6</v>
      </c>
      <c r="D211" s="27" t="s">
        <v>686</v>
      </c>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t="s">
        <v>673</v>
      </c>
      <c r="AM211" s="27" t="s">
        <v>674</v>
      </c>
    </row>
    <row r="212" spans="1:39" x14ac:dyDescent="0.35">
      <c r="A212" s="34" t="s">
        <v>687</v>
      </c>
      <c r="B212" s="27">
        <v>30</v>
      </c>
      <c r="C212" s="27" t="s">
        <v>6</v>
      </c>
      <c r="D212" s="27" t="s">
        <v>350</v>
      </c>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t="s">
        <v>673</v>
      </c>
      <c r="AM212" s="27" t="s">
        <v>674</v>
      </c>
    </row>
    <row r="213" spans="1:39" ht="101.5" x14ac:dyDescent="0.35">
      <c r="A213" s="34" t="s">
        <v>688</v>
      </c>
      <c r="B213" s="27">
        <v>29</v>
      </c>
      <c r="C213" s="27" t="s">
        <v>79</v>
      </c>
      <c r="D213" s="27" t="s">
        <v>351</v>
      </c>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t="s">
        <v>673</v>
      </c>
      <c r="AM213" s="27" t="s">
        <v>674</v>
      </c>
    </row>
    <row r="214" spans="1:39" x14ac:dyDescent="0.35">
      <c r="A214" s="34" t="s">
        <v>689</v>
      </c>
      <c r="B214" s="27">
        <v>29</v>
      </c>
      <c r="C214" s="27" t="s">
        <v>36</v>
      </c>
      <c r="D214" s="28" t="s">
        <v>352</v>
      </c>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t="s">
        <v>673</v>
      </c>
      <c r="AM214" s="27" t="s">
        <v>674</v>
      </c>
    </row>
    <row r="215" spans="1:39" x14ac:dyDescent="0.35">
      <c r="A215" s="34" t="s">
        <v>690</v>
      </c>
      <c r="B215" s="27">
        <v>29</v>
      </c>
      <c r="C215" s="27" t="s">
        <v>36</v>
      </c>
      <c r="D215" s="28" t="s">
        <v>353</v>
      </c>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t="s">
        <v>673</v>
      </c>
      <c r="AM215" s="27" t="s">
        <v>674</v>
      </c>
    </row>
    <row r="216" spans="1:39" x14ac:dyDescent="0.35">
      <c r="A216" s="34" t="s">
        <v>691</v>
      </c>
      <c r="B216" s="27">
        <v>29</v>
      </c>
      <c r="C216" s="27" t="s">
        <v>36</v>
      </c>
      <c r="D216" s="28" t="s">
        <v>354</v>
      </c>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t="s">
        <v>673</v>
      </c>
      <c r="AM216" s="27" t="s">
        <v>674</v>
      </c>
    </row>
    <row r="217" spans="1:39" x14ac:dyDescent="0.35">
      <c r="A217" s="34" t="s">
        <v>692</v>
      </c>
      <c r="B217" s="27">
        <v>29</v>
      </c>
      <c r="C217" s="27" t="s">
        <v>36</v>
      </c>
      <c r="D217" s="28" t="s">
        <v>355</v>
      </c>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t="s">
        <v>673</v>
      </c>
      <c r="AM217" s="27" t="s">
        <v>674</v>
      </c>
    </row>
    <row r="218" spans="1:39" x14ac:dyDescent="0.35">
      <c r="A218" s="27" t="s">
        <v>693</v>
      </c>
      <c r="B218" s="27">
        <v>31</v>
      </c>
      <c r="C218" s="27" t="s">
        <v>68</v>
      </c>
      <c r="D218" s="28" t="s">
        <v>356</v>
      </c>
      <c r="E218" s="27" t="str">
        <f>A223</f>
        <v>Ref-054</v>
      </c>
      <c r="F218" s="27" t="str">
        <f>A225</f>
        <v>Fn-039</v>
      </c>
      <c r="G218" s="27"/>
      <c r="H218" s="27" t="str">
        <f>A220</f>
        <v>Cl-039</v>
      </c>
      <c r="I218" s="27" t="s">
        <v>65</v>
      </c>
      <c r="J218" s="27" t="str">
        <f>A219</f>
        <v>Cl-038</v>
      </c>
      <c r="K218" s="27" t="s">
        <v>65</v>
      </c>
      <c r="L218" s="27"/>
      <c r="M218" s="27"/>
      <c r="N218" s="27"/>
      <c r="O218" s="27"/>
      <c r="P218" s="27"/>
      <c r="Q218" s="27"/>
      <c r="R218" s="27" t="str">
        <f>A221</f>
        <v>RT-027</v>
      </c>
      <c r="S218" s="27" t="s">
        <v>65</v>
      </c>
      <c r="T218" s="27"/>
      <c r="U218" s="27"/>
      <c r="V218" s="27"/>
      <c r="W218" s="27"/>
      <c r="X218" s="27"/>
      <c r="Y218" s="27"/>
      <c r="Z218" s="27"/>
      <c r="AA218" s="27"/>
      <c r="AB218" s="27" t="str">
        <f>A222</f>
        <v>Comp-083</v>
      </c>
      <c r="AC218" s="27" t="s">
        <v>65</v>
      </c>
      <c r="AD218" s="27"/>
      <c r="AE218" s="27"/>
      <c r="AF218" s="27"/>
      <c r="AG218" s="27"/>
      <c r="AH218" s="27"/>
      <c r="AI218" s="27"/>
      <c r="AJ218" s="27"/>
      <c r="AK218" s="27"/>
      <c r="AL218" s="27" t="s">
        <v>694</v>
      </c>
      <c r="AM218" s="27" t="s">
        <v>695</v>
      </c>
    </row>
    <row r="219" spans="1:39" ht="29" x14ac:dyDescent="0.35">
      <c r="A219" s="27" t="s">
        <v>696</v>
      </c>
      <c r="B219" s="27">
        <v>31</v>
      </c>
      <c r="C219" s="27" t="s">
        <v>128</v>
      </c>
      <c r="D219" s="28" t="s">
        <v>357</v>
      </c>
      <c r="E219" s="27" t="str">
        <f>A223</f>
        <v>Ref-054</v>
      </c>
      <c r="F219" s="27" t="str">
        <f>A225</f>
        <v>Fn-039</v>
      </c>
      <c r="G219" s="27" t="str">
        <f>A229</f>
        <v>Gs-023</v>
      </c>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t="s">
        <v>694</v>
      </c>
      <c r="AM219" s="27" t="s">
        <v>695</v>
      </c>
    </row>
    <row r="220" spans="1:39" ht="43.5" x14ac:dyDescent="0.35">
      <c r="A220" s="27" t="s">
        <v>697</v>
      </c>
      <c r="B220" s="27">
        <v>31</v>
      </c>
      <c r="C220" s="27" t="s">
        <v>128</v>
      </c>
      <c r="D220" s="28" t="s">
        <v>358</v>
      </c>
      <c r="E220" s="27" t="str">
        <f>A223</f>
        <v>Ref-054</v>
      </c>
      <c r="F220" s="27" t="str">
        <f>A225&amp; " "&amp;A227</f>
        <v>Fn-039 Fn-041</v>
      </c>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t="s">
        <v>694</v>
      </c>
      <c r="AM220" s="27" t="s">
        <v>695</v>
      </c>
    </row>
    <row r="221" spans="1:39" ht="29" x14ac:dyDescent="0.35">
      <c r="A221" s="27" t="s">
        <v>698</v>
      </c>
      <c r="B221" s="27">
        <v>31</v>
      </c>
      <c r="C221" s="27" t="s">
        <v>32</v>
      </c>
      <c r="D221" s="28" t="s">
        <v>359</v>
      </c>
      <c r="E221" s="27"/>
      <c r="F221" s="27" t="str">
        <f>A225</f>
        <v>Fn-039</v>
      </c>
      <c r="G221" s="27" t="str">
        <f>A229</f>
        <v>Gs-023</v>
      </c>
      <c r="H221" s="27"/>
      <c r="I221" s="27"/>
      <c r="J221" s="27"/>
      <c r="K221" s="27"/>
      <c r="L221" s="27"/>
      <c r="M221" s="27"/>
      <c r="N221" s="27"/>
      <c r="O221" s="27"/>
      <c r="P221" s="27"/>
      <c r="Q221" s="27"/>
      <c r="R221" s="27"/>
      <c r="S221" s="27"/>
      <c r="T221" s="27"/>
      <c r="U221" s="27"/>
      <c r="V221" s="27"/>
      <c r="W221" s="27"/>
      <c r="X221" s="27"/>
      <c r="Y221" s="27"/>
      <c r="Z221" s="27"/>
      <c r="AA221" s="27"/>
      <c r="AB221" s="27" t="str">
        <f>A222</f>
        <v>Comp-083</v>
      </c>
      <c r="AC221" s="27" t="s">
        <v>65</v>
      </c>
      <c r="AD221" s="27"/>
      <c r="AE221" s="27"/>
      <c r="AF221" s="27"/>
      <c r="AG221" s="27"/>
      <c r="AH221" s="27"/>
      <c r="AI221" s="27"/>
      <c r="AJ221" s="27"/>
      <c r="AK221" s="27"/>
      <c r="AL221" s="27" t="s">
        <v>694</v>
      </c>
      <c r="AM221" s="27" t="s">
        <v>695</v>
      </c>
    </row>
    <row r="222" spans="1:39" x14ac:dyDescent="0.35">
      <c r="A222" s="27" t="s">
        <v>699</v>
      </c>
      <c r="B222" s="27">
        <v>31</v>
      </c>
      <c r="C222" s="27" t="s">
        <v>36</v>
      </c>
      <c r="D222" s="28" t="s">
        <v>700</v>
      </c>
      <c r="E222" s="27" t="str">
        <f>A223</f>
        <v>Ref-054</v>
      </c>
      <c r="F222" s="27"/>
      <c r="G222" s="27" t="str">
        <f>A229</f>
        <v>Gs-023</v>
      </c>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row>
    <row r="223" spans="1:39" x14ac:dyDescent="0.35">
      <c r="A223" s="27" t="s">
        <v>701</v>
      </c>
      <c r="B223" s="27">
        <v>32</v>
      </c>
      <c r="C223" s="27" t="s">
        <v>4</v>
      </c>
      <c r="D223" s="27" t="s">
        <v>335</v>
      </c>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t="s">
        <v>694</v>
      </c>
      <c r="AM223" s="27" t="s">
        <v>695</v>
      </c>
    </row>
    <row r="224" spans="1:39" ht="43.5" x14ac:dyDescent="0.35">
      <c r="A224" s="34" t="s">
        <v>702</v>
      </c>
      <c r="B224" s="27">
        <v>31</v>
      </c>
      <c r="C224" s="27" t="s">
        <v>79</v>
      </c>
      <c r="D224" s="28" t="s">
        <v>703</v>
      </c>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t="s">
        <v>694</v>
      </c>
      <c r="AM224" s="27" t="s">
        <v>695</v>
      </c>
    </row>
    <row r="225" spans="1:39" ht="87" x14ac:dyDescent="0.35">
      <c r="A225" s="34" t="s">
        <v>704</v>
      </c>
      <c r="B225" s="27">
        <v>31</v>
      </c>
      <c r="C225" s="27" t="s">
        <v>79</v>
      </c>
      <c r="D225" s="35" t="s">
        <v>705</v>
      </c>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t="s">
        <v>694</v>
      </c>
      <c r="AM225" s="27" t="s">
        <v>695</v>
      </c>
    </row>
    <row r="226" spans="1:39" ht="29" x14ac:dyDescent="0.35">
      <c r="A226" s="34" t="s">
        <v>706</v>
      </c>
      <c r="B226" s="27">
        <v>31</v>
      </c>
      <c r="C226" s="27" t="s">
        <v>79</v>
      </c>
      <c r="D226" s="35" t="s">
        <v>707</v>
      </c>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t="s">
        <v>694</v>
      </c>
      <c r="AM226" s="27" t="s">
        <v>695</v>
      </c>
    </row>
    <row r="227" spans="1:39" ht="43.5" x14ac:dyDescent="0.35">
      <c r="A227" s="34" t="s">
        <v>708</v>
      </c>
      <c r="B227" s="27">
        <v>31</v>
      </c>
      <c r="C227" s="27" t="s">
        <v>79</v>
      </c>
      <c r="D227" s="35" t="s">
        <v>709</v>
      </c>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t="s">
        <v>694</v>
      </c>
      <c r="AM227" s="27" t="s">
        <v>695</v>
      </c>
    </row>
    <row r="228" spans="1:39" ht="29" x14ac:dyDescent="0.35">
      <c r="A228" s="34" t="s">
        <v>710</v>
      </c>
      <c r="B228" s="27">
        <v>31</v>
      </c>
      <c r="C228" s="27" t="s">
        <v>79</v>
      </c>
      <c r="D228" s="35" t="s">
        <v>711</v>
      </c>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t="s">
        <v>694</v>
      </c>
      <c r="AM228" s="27" t="s">
        <v>695</v>
      </c>
    </row>
    <row r="229" spans="1:39" ht="29" x14ac:dyDescent="0.35">
      <c r="A229" s="34" t="s">
        <v>712</v>
      </c>
      <c r="B229" s="27">
        <v>32</v>
      </c>
      <c r="C229" s="27" t="s">
        <v>6</v>
      </c>
      <c r="D229" s="27" t="s">
        <v>338</v>
      </c>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t="s">
        <v>694</v>
      </c>
      <c r="AM229" s="27" t="s">
        <v>695</v>
      </c>
    </row>
    <row r="230" spans="1:39" x14ac:dyDescent="0.35">
      <c r="A230" s="34" t="s">
        <v>713</v>
      </c>
      <c r="B230" s="27">
        <v>31</v>
      </c>
      <c r="C230" s="27" t="s">
        <v>79</v>
      </c>
      <c r="D230" s="27" t="s">
        <v>714</v>
      </c>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t="s">
        <v>694</v>
      </c>
      <c r="AM230" s="27" t="s">
        <v>695</v>
      </c>
    </row>
    <row r="231" spans="1:39" ht="43.5" x14ac:dyDescent="0.35">
      <c r="A231" s="34" t="s">
        <v>715</v>
      </c>
      <c r="B231" s="27">
        <v>32</v>
      </c>
      <c r="C231" s="27" t="s">
        <v>6</v>
      </c>
      <c r="D231" s="27" t="s">
        <v>716</v>
      </c>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t="s">
        <v>694</v>
      </c>
      <c r="AM231" s="27" t="s">
        <v>695</v>
      </c>
    </row>
    <row r="232" spans="1:39" x14ac:dyDescent="0.35">
      <c r="A232" s="27" t="s">
        <v>717</v>
      </c>
      <c r="B232" s="27">
        <v>32</v>
      </c>
      <c r="C232" s="27" t="s">
        <v>4</v>
      </c>
      <c r="D232" s="27" t="s">
        <v>718</v>
      </c>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t="s">
        <v>694</v>
      </c>
      <c r="AM232" s="27" t="s">
        <v>695</v>
      </c>
    </row>
    <row r="233" spans="1:39" x14ac:dyDescent="0.35">
      <c r="A233" s="27" t="s">
        <v>719</v>
      </c>
      <c r="B233" s="27">
        <v>32</v>
      </c>
      <c r="C233" s="27" t="s">
        <v>4</v>
      </c>
      <c r="D233" s="27" t="s">
        <v>720</v>
      </c>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t="s">
        <v>694</v>
      </c>
      <c r="AM233" s="27" t="s">
        <v>695</v>
      </c>
    </row>
    <row r="234" spans="1:39" x14ac:dyDescent="0.35">
      <c r="A234" s="27" t="s">
        <v>721</v>
      </c>
      <c r="B234" s="27">
        <v>33</v>
      </c>
      <c r="C234" s="27" t="s">
        <v>68</v>
      </c>
      <c r="D234" s="27" t="s">
        <v>722</v>
      </c>
      <c r="E234" s="27" t="str">
        <f>A254</f>
        <v>Ref-058</v>
      </c>
      <c r="F234" s="27" t="str">
        <f>A238</f>
        <v>Fn-045</v>
      </c>
      <c r="G234" s="27"/>
      <c r="H234" s="27"/>
      <c r="I234" s="27"/>
      <c r="J234" s="27"/>
      <c r="K234" s="27"/>
      <c r="L234" s="27"/>
      <c r="M234" s="27"/>
      <c r="N234" s="27"/>
      <c r="O234" s="27"/>
      <c r="P234" s="27"/>
      <c r="Q234" s="27"/>
      <c r="R234" s="27" t="str">
        <f>A235</f>
        <v>RT-028</v>
      </c>
      <c r="S234" s="27" t="s">
        <v>65</v>
      </c>
      <c r="T234" s="27" t="str">
        <f>A236</f>
        <v>RT-029</v>
      </c>
      <c r="U234" s="27" t="s">
        <v>65</v>
      </c>
      <c r="V234" s="27" t="str">
        <f>A244</f>
        <v>RT-112</v>
      </c>
      <c r="W234" s="27" t="s">
        <v>65</v>
      </c>
      <c r="X234" s="27"/>
      <c r="Y234" s="27"/>
      <c r="Z234" s="27"/>
      <c r="AA234" s="27"/>
      <c r="AB234" s="27" t="str">
        <f>A243</f>
        <v>Comp-040</v>
      </c>
      <c r="AC234" s="27" t="s">
        <v>65</v>
      </c>
      <c r="AD234" s="27" t="str">
        <f>A245</f>
        <v>Comp-041</v>
      </c>
      <c r="AE234" s="27" t="s">
        <v>65</v>
      </c>
      <c r="AF234" s="27"/>
      <c r="AG234" s="27"/>
      <c r="AH234" s="27"/>
      <c r="AI234" s="27"/>
      <c r="AJ234" s="27"/>
      <c r="AK234" s="27"/>
      <c r="AL234" s="27" t="s">
        <v>723</v>
      </c>
      <c r="AM234" s="27" t="s">
        <v>724</v>
      </c>
    </row>
    <row r="235" spans="1:39" ht="29" x14ac:dyDescent="0.35">
      <c r="A235" s="27" t="s">
        <v>725</v>
      </c>
      <c r="B235" s="27">
        <v>33</v>
      </c>
      <c r="C235" s="27" t="s">
        <v>32</v>
      </c>
      <c r="D235" s="28" t="s">
        <v>726</v>
      </c>
      <c r="E235" s="27" t="str">
        <f>A253</f>
        <v>Ref-057</v>
      </c>
      <c r="F235" s="27" t="str">
        <f>A239</f>
        <v>Fn-046</v>
      </c>
      <c r="G235" s="27" t="str">
        <f>A248</f>
        <v>Gs-094</v>
      </c>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t="s">
        <v>723</v>
      </c>
      <c r="AM235" s="27" t="s">
        <v>724</v>
      </c>
    </row>
    <row r="236" spans="1:39" x14ac:dyDescent="0.35">
      <c r="A236" s="27" t="s">
        <v>727</v>
      </c>
      <c r="B236" s="27">
        <v>33</v>
      </c>
      <c r="C236" s="27" t="s">
        <v>32</v>
      </c>
      <c r="D236" s="28" t="s">
        <v>728</v>
      </c>
      <c r="E236" s="27" t="str">
        <f>A254</f>
        <v>Ref-058</v>
      </c>
      <c r="F236" s="27" t="str">
        <f>A240</f>
        <v>Fn-047</v>
      </c>
      <c r="G236" s="27"/>
      <c r="H236" s="27"/>
      <c r="I236" s="27"/>
      <c r="J236" s="27"/>
      <c r="K236" s="27"/>
      <c r="L236" s="27"/>
      <c r="M236" s="27"/>
      <c r="N236" s="27"/>
      <c r="O236" s="27"/>
      <c r="P236" s="27"/>
      <c r="Q236" s="27"/>
      <c r="R236" s="27"/>
      <c r="S236" s="27"/>
      <c r="T236" s="27"/>
      <c r="U236" s="27"/>
      <c r="V236" s="27"/>
      <c r="W236" s="27"/>
      <c r="X236" s="27"/>
      <c r="Y236" s="27"/>
      <c r="Z236" s="27"/>
      <c r="AA236" s="27"/>
      <c r="AB236" s="27" t="str">
        <f>A243</f>
        <v>Comp-040</v>
      </c>
      <c r="AC236" s="27" t="s">
        <v>65</v>
      </c>
      <c r="AD236" s="27"/>
      <c r="AE236" s="27"/>
      <c r="AF236" s="27"/>
      <c r="AG236" s="27"/>
      <c r="AH236" s="27"/>
      <c r="AI236" s="27"/>
      <c r="AJ236" s="27"/>
      <c r="AK236" s="27"/>
      <c r="AL236" s="27" t="s">
        <v>723</v>
      </c>
      <c r="AM236" s="27" t="s">
        <v>724</v>
      </c>
    </row>
    <row r="237" spans="1:39" x14ac:dyDescent="0.35">
      <c r="A237" s="34" t="s">
        <v>729</v>
      </c>
      <c r="B237" s="27">
        <v>33</v>
      </c>
      <c r="C237" s="27" t="s">
        <v>79</v>
      </c>
      <c r="D237" s="27" t="s">
        <v>730</v>
      </c>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t="s">
        <v>723</v>
      </c>
      <c r="AM237" s="27" t="s">
        <v>724</v>
      </c>
    </row>
    <row r="238" spans="1:39" ht="29" x14ac:dyDescent="0.35">
      <c r="A238" s="34" t="s">
        <v>731</v>
      </c>
      <c r="B238" s="27">
        <v>33</v>
      </c>
      <c r="C238" s="27" t="s">
        <v>79</v>
      </c>
      <c r="D238" s="27" t="s">
        <v>732</v>
      </c>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t="s">
        <v>723</v>
      </c>
      <c r="AM238" s="27" t="s">
        <v>724</v>
      </c>
    </row>
    <row r="239" spans="1:39" ht="87" x14ac:dyDescent="0.35">
      <c r="A239" s="34" t="s">
        <v>733</v>
      </c>
      <c r="B239" s="27">
        <v>33</v>
      </c>
      <c r="C239" s="27" t="s">
        <v>79</v>
      </c>
      <c r="D239" s="27" t="s">
        <v>734</v>
      </c>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t="s">
        <v>723</v>
      </c>
      <c r="AM239" s="27" t="s">
        <v>724</v>
      </c>
    </row>
    <row r="240" spans="1:39" ht="58" x14ac:dyDescent="0.35">
      <c r="A240" s="34" t="s">
        <v>735</v>
      </c>
      <c r="B240" s="27">
        <v>33</v>
      </c>
      <c r="C240" s="27" t="s">
        <v>79</v>
      </c>
      <c r="D240" s="27" t="s">
        <v>736</v>
      </c>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t="s">
        <v>723</v>
      </c>
      <c r="AM240" s="27" t="s">
        <v>724</v>
      </c>
    </row>
    <row r="241" spans="1:39" ht="43.5" x14ac:dyDescent="0.35">
      <c r="A241" s="34" t="s">
        <v>737</v>
      </c>
      <c r="B241" s="27">
        <v>33</v>
      </c>
      <c r="C241" s="27" t="s">
        <v>79</v>
      </c>
      <c r="D241" s="27" t="s">
        <v>738</v>
      </c>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t="s">
        <v>723</v>
      </c>
      <c r="AM241" s="27" t="s">
        <v>724</v>
      </c>
    </row>
    <row r="242" spans="1:39" x14ac:dyDescent="0.35">
      <c r="A242" s="34" t="s">
        <v>739</v>
      </c>
      <c r="B242" s="27">
        <v>33</v>
      </c>
      <c r="C242" s="27" t="s">
        <v>79</v>
      </c>
      <c r="D242" s="27" t="s">
        <v>740</v>
      </c>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t="s">
        <v>723</v>
      </c>
      <c r="AM242" s="27" t="s">
        <v>724</v>
      </c>
    </row>
    <row r="243" spans="1:39" x14ac:dyDescent="0.35">
      <c r="A243" s="34" t="s">
        <v>741</v>
      </c>
      <c r="B243" s="27">
        <v>33</v>
      </c>
      <c r="C243" s="27" t="s">
        <v>36</v>
      </c>
      <c r="D243" s="27" t="s">
        <v>742</v>
      </c>
      <c r="E243" s="27" t="str">
        <f>A254</f>
        <v>Ref-058</v>
      </c>
      <c r="F243" s="27"/>
      <c r="G243" s="27" t="str">
        <f>A250</f>
        <v>Gs-096</v>
      </c>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t="s">
        <v>723</v>
      </c>
      <c r="AM243" s="27" t="s">
        <v>724</v>
      </c>
    </row>
    <row r="244" spans="1:39" x14ac:dyDescent="0.35">
      <c r="A244" s="34" t="s">
        <v>743</v>
      </c>
      <c r="B244" s="27">
        <v>34</v>
      </c>
      <c r="C244" s="27" t="s">
        <v>32</v>
      </c>
      <c r="D244" s="28" t="s">
        <v>744</v>
      </c>
      <c r="E244" s="27" t="str">
        <f>A252</f>
        <v>Ref-120</v>
      </c>
      <c r="F244" s="27" t="str">
        <f>A246&amp; " "&amp;A242</f>
        <v>Fn-110 Fn-049</v>
      </c>
      <c r="G244" s="27" t="str">
        <f>A249</f>
        <v>Gs-095</v>
      </c>
      <c r="H244" s="27"/>
      <c r="I244" s="27"/>
      <c r="J244" s="27"/>
      <c r="K244" s="27"/>
      <c r="L244" s="27"/>
      <c r="M244" s="27"/>
      <c r="N244" s="27"/>
      <c r="O244" s="27"/>
      <c r="P244" s="27"/>
      <c r="Q244" s="27"/>
      <c r="R244" s="27"/>
      <c r="S244" s="27"/>
      <c r="T244" s="27"/>
      <c r="U244" s="27"/>
      <c r="V244" s="27"/>
      <c r="W244" s="27"/>
      <c r="X244" s="27"/>
      <c r="Y244" s="27"/>
      <c r="Z244" s="27"/>
      <c r="AA244" s="27"/>
      <c r="AB244" s="27" t="str">
        <f>A245</f>
        <v>Comp-041</v>
      </c>
      <c r="AC244" s="27" t="s">
        <v>65</v>
      </c>
      <c r="AD244" s="27"/>
      <c r="AE244" s="27"/>
      <c r="AF244" s="27"/>
      <c r="AG244" s="27"/>
      <c r="AH244" s="27"/>
      <c r="AI244" s="27"/>
      <c r="AJ244" s="27"/>
      <c r="AK244" s="27"/>
      <c r="AL244" s="27"/>
      <c r="AM244" s="27"/>
    </row>
    <row r="245" spans="1:39" x14ac:dyDescent="0.35">
      <c r="A245" s="34" t="s">
        <v>745</v>
      </c>
      <c r="B245" s="27">
        <v>34</v>
      </c>
      <c r="C245" s="27" t="s">
        <v>36</v>
      </c>
      <c r="D245" s="27" t="s">
        <v>746</v>
      </c>
      <c r="E245" s="27" t="str">
        <f>A252</f>
        <v>Ref-120</v>
      </c>
      <c r="F245" s="27"/>
      <c r="G245" s="27" t="str">
        <f>A250</f>
        <v>Gs-096</v>
      </c>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t="s">
        <v>723</v>
      </c>
      <c r="AM245" s="27" t="s">
        <v>724</v>
      </c>
    </row>
    <row r="246" spans="1:39" ht="43.5" x14ac:dyDescent="0.35">
      <c r="A246" s="34" t="s">
        <v>747</v>
      </c>
      <c r="B246" s="27">
        <v>34</v>
      </c>
      <c r="C246" s="27" t="s">
        <v>79</v>
      </c>
      <c r="D246" s="27" t="s">
        <v>748</v>
      </c>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row>
    <row r="247" spans="1:39" x14ac:dyDescent="0.35">
      <c r="A247" s="34" t="s">
        <v>749</v>
      </c>
      <c r="B247" s="27">
        <v>33</v>
      </c>
      <c r="C247" s="27" t="s">
        <v>79</v>
      </c>
      <c r="D247" s="27" t="s">
        <v>730</v>
      </c>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t="s">
        <v>723</v>
      </c>
      <c r="AM247" s="27" t="s">
        <v>724</v>
      </c>
    </row>
    <row r="248" spans="1:39" ht="43.5" x14ac:dyDescent="0.35">
      <c r="A248" s="34" t="s">
        <v>750</v>
      </c>
      <c r="B248" s="27">
        <v>33</v>
      </c>
      <c r="C248" s="27" t="s">
        <v>6</v>
      </c>
      <c r="D248" s="27" t="s">
        <v>751</v>
      </c>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row>
    <row r="249" spans="1:39" ht="29" x14ac:dyDescent="0.35">
      <c r="A249" s="34" t="s">
        <v>752</v>
      </c>
      <c r="B249" s="27">
        <v>34</v>
      </c>
      <c r="C249" s="27" t="s">
        <v>6</v>
      </c>
      <c r="D249" s="27" t="s">
        <v>753</v>
      </c>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row>
    <row r="250" spans="1:39" ht="29" x14ac:dyDescent="0.35">
      <c r="A250" s="34" t="s">
        <v>754</v>
      </c>
      <c r="B250" s="27">
        <v>33</v>
      </c>
      <c r="C250" s="27" t="s">
        <v>6</v>
      </c>
      <c r="D250" s="27" t="s">
        <v>755</v>
      </c>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row>
    <row r="251" spans="1:39" ht="43.5" x14ac:dyDescent="0.35">
      <c r="A251" s="34" t="s">
        <v>756</v>
      </c>
      <c r="B251" s="27">
        <v>35</v>
      </c>
      <c r="C251" s="27" t="s">
        <v>6</v>
      </c>
      <c r="D251" s="27" t="s">
        <v>757</v>
      </c>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t="s">
        <v>723</v>
      </c>
      <c r="AM251" s="27" t="s">
        <v>724</v>
      </c>
    </row>
    <row r="252" spans="1:39" x14ac:dyDescent="0.35">
      <c r="A252" s="34" t="s">
        <v>758</v>
      </c>
      <c r="B252" s="27">
        <v>35</v>
      </c>
      <c r="C252" s="27" t="s">
        <v>4</v>
      </c>
      <c r="D252" s="27" t="s">
        <v>759</v>
      </c>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row>
    <row r="253" spans="1:39" ht="29" x14ac:dyDescent="0.35">
      <c r="A253" s="27" t="s">
        <v>760</v>
      </c>
      <c r="B253" s="27">
        <v>35</v>
      </c>
      <c r="C253" s="27" t="s">
        <v>4</v>
      </c>
      <c r="D253" s="27" t="s">
        <v>655</v>
      </c>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t="s">
        <v>723</v>
      </c>
      <c r="AM253" s="27" t="s">
        <v>724</v>
      </c>
    </row>
    <row r="254" spans="1:39" x14ac:dyDescent="0.35">
      <c r="A254" s="27" t="s">
        <v>761</v>
      </c>
      <c r="B254" s="27">
        <v>35</v>
      </c>
      <c r="C254" s="27" t="s">
        <v>4</v>
      </c>
      <c r="D254" s="27" t="s">
        <v>762</v>
      </c>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t="s">
        <v>723</v>
      </c>
      <c r="AM254" s="27" t="s">
        <v>724</v>
      </c>
    </row>
    <row r="255" spans="1:39" x14ac:dyDescent="0.35">
      <c r="A255" s="34" t="s">
        <v>763</v>
      </c>
      <c r="B255" s="27">
        <v>36</v>
      </c>
      <c r="C255" s="27" t="s">
        <v>68</v>
      </c>
      <c r="D255" s="28" t="s">
        <v>764</v>
      </c>
      <c r="E255" s="27" t="str">
        <f t="shared" ref="E255:E260" si="2">A261</f>
        <v>Ref-059</v>
      </c>
      <c r="F255" s="27" t="str">
        <f>A268</f>
        <v>Fn-052</v>
      </c>
      <c r="G255" s="27"/>
      <c r="H255" s="27" t="str">
        <f>A256</f>
        <v>Cl-042</v>
      </c>
      <c r="I255" s="27" t="s">
        <v>65</v>
      </c>
      <c r="J255" s="27"/>
      <c r="K255" s="27"/>
      <c r="L255" s="27"/>
      <c r="M255" s="27"/>
      <c r="N255" s="27"/>
      <c r="O255" s="27"/>
      <c r="P255" s="27"/>
      <c r="Q255" s="27"/>
      <c r="R255" s="27"/>
      <c r="S255" s="27"/>
      <c r="T255" s="27"/>
      <c r="U255" s="27"/>
      <c r="V255" s="27"/>
      <c r="W255" s="27"/>
      <c r="X255" s="27"/>
      <c r="Y255" s="27"/>
      <c r="Z255" s="27"/>
      <c r="AA255" s="27"/>
      <c r="AB255" s="27" t="str">
        <f>A272</f>
        <v>Comp-042</v>
      </c>
      <c r="AC255" s="27" t="s">
        <v>61</v>
      </c>
      <c r="AD255" s="27" t="str">
        <f>A273</f>
        <v>Comp-043</v>
      </c>
      <c r="AE255" s="27" t="s">
        <v>61</v>
      </c>
      <c r="AF255" s="27" t="str">
        <f>A274</f>
        <v>Comp-044</v>
      </c>
      <c r="AG255" s="27" t="s">
        <v>61</v>
      </c>
      <c r="AH255" s="27" t="str">
        <f>A275</f>
        <v>Comp-045</v>
      </c>
      <c r="AI255" s="27" t="s">
        <v>61</v>
      </c>
      <c r="AJ255" s="27"/>
      <c r="AK255" s="27"/>
      <c r="AL255" s="27" t="s">
        <v>765</v>
      </c>
      <c r="AM255" s="27" t="s">
        <v>766</v>
      </c>
    </row>
    <row r="256" spans="1:39" ht="29" x14ac:dyDescent="0.35">
      <c r="A256" s="34" t="s">
        <v>767</v>
      </c>
      <c r="B256" s="27">
        <v>36</v>
      </c>
      <c r="C256" s="27" t="s">
        <v>128</v>
      </c>
      <c r="D256" s="28" t="s">
        <v>768</v>
      </c>
      <c r="E256" s="27" t="str">
        <f t="shared" si="2"/>
        <v>Ref-060</v>
      </c>
      <c r="F256" s="27" t="str">
        <f>A268</f>
        <v>Fn-052</v>
      </c>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t="s">
        <v>765</v>
      </c>
      <c r="AM256" s="27" t="s">
        <v>766</v>
      </c>
    </row>
    <row r="257" spans="1:39" x14ac:dyDescent="0.35">
      <c r="A257" s="34" t="s">
        <v>769</v>
      </c>
      <c r="B257" s="27">
        <v>36</v>
      </c>
      <c r="C257" s="27" t="s">
        <v>68</v>
      </c>
      <c r="D257" s="28" t="s">
        <v>770</v>
      </c>
      <c r="E257" s="27" t="str">
        <f t="shared" si="2"/>
        <v>Ref-061</v>
      </c>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t="s">
        <v>765</v>
      </c>
      <c r="AM257" s="27" t="s">
        <v>766</v>
      </c>
    </row>
    <row r="258" spans="1:39" x14ac:dyDescent="0.35">
      <c r="A258" s="34" t="s">
        <v>771</v>
      </c>
      <c r="B258" s="27">
        <v>36</v>
      </c>
      <c r="C258" s="27" t="s">
        <v>68</v>
      </c>
      <c r="D258" s="28" t="s">
        <v>772</v>
      </c>
      <c r="E258" s="27" t="str">
        <f t="shared" si="2"/>
        <v>Ref-062</v>
      </c>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t="s">
        <v>765</v>
      </c>
      <c r="AM258" s="27" t="s">
        <v>766</v>
      </c>
    </row>
    <row r="259" spans="1:39" x14ac:dyDescent="0.35">
      <c r="A259" s="34" t="s">
        <v>773</v>
      </c>
      <c r="B259" s="27">
        <v>36</v>
      </c>
      <c r="C259" s="27" t="s">
        <v>68</v>
      </c>
      <c r="D259" s="28" t="s">
        <v>774</v>
      </c>
      <c r="E259" s="27" t="str">
        <f t="shared" si="2"/>
        <v>Ref-063</v>
      </c>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t="s">
        <v>765</v>
      </c>
      <c r="AM259" s="27" t="s">
        <v>766</v>
      </c>
    </row>
    <row r="260" spans="1:39" x14ac:dyDescent="0.35">
      <c r="A260" s="34" t="s">
        <v>775</v>
      </c>
      <c r="B260" s="27">
        <v>36</v>
      </c>
      <c r="C260" s="27" t="s">
        <v>68</v>
      </c>
      <c r="D260" s="28" t="s">
        <v>776</v>
      </c>
      <c r="E260" s="27" t="str">
        <f t="shared" si="2"/>
        <v>Ref-064</v>
      </c>
      <c r="F260" s="27" t="str">
        <f>A267</f>
        <v>Fn-051</v>
      </c>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t="s">
        <v>765</v>
      </c>
      <c r="AM260" s="27" t="s">
        <v>766</v>
      </c>
    </row>
    <row r="261" spans="1:39" ht="58" x14ac:dyDescent="0.35">
      <c r="A261" s="34" t="s">
        <v>777</v>
      </c>
      <c r="B261" s="27">
        <v>37</v>
      </c>
      <c r="C261" s="27" t="s">
        <v>4</v>
      </c>
      <c r="D261" s="27" t="s">
        <v>778</v>
      </c>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t="s">
        <v>765</v>
      </c>
      <c r="AM261" s="27" t="s">
        <v>766</v>
      </c>
    </row>
    <row r="262" spans="1:39" ht="275.5" x14ac:dyDescent="0.35">
      <c r="A262" s="34" t="s">
        <v>779</v>
      </c>
      <c r="B262" s="27">
        <v>37</v>
      </c>
      <c r="C262" s="27" t="s">
        <v>4</v>
      </c>
      <c r="D262" s="27" t="s">
        <v>780</v>
      </c>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t="s">
        <v>765</v>
      </c>
      <c r="AM262" s="27" t="s">
        <v>766</v>
      </c>
    </row>
    <row r="263" spans="1:39" ht="116" x14ac:dyDescent="0.35">
      <c r="A263" s="34" t="s">
        <v>781</v>
      </c>
      <c r="B263" s="27">
        <v>37</v>
      </c>
      <c r="C263" s="27" t="s">
        <v>4</v>
      </c>
      <c r="D263" s="27" t="s">
        <v>782</v>
      </c>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t="s">
        <v>765</v>
      </c>
      <c r="AM263" s="27" t="s">
        <v>766</v>
      </c>
    </row>
    <row r="264" spans="1:39" ht="29" x14ac:dyDescent="0.35">
      <c r="A264" s="34" t="s">
        <v>783</v>
      </c>
      <c r="B264" s="27">
        <v>37</v>
      </c>
      <c r="C264" s="27" t="s">
        <v>4</v>
      </c>
      <c r="D264" s="27" t="s">
        <v>784</v>
      </c>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t="s">
        <v>765</v>
      </c>
      <c r="AM264" s="27" t="s">
        <v>766</v>
      </c>
    </row>
    <row r="265" spans="1:39" ht="29" x14ac:dyDescent="0.35">
      <c r="A265" s="34" t="s">
        <v>785</v>
      </c>
      <c r="B265" s="27">
        <v>37</v>
      </c>
      <c r="C265" s="27" t="s">
        <v>4</v>
      </c>
      <c r="D265" s="27" t="s">
        <v>786</v>
      </c>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t="s">
        <v>765</v>
      </c>
      <c r="AM265" s="27" t="s">
        <v>766</v>
      </c>
    </row>
    <row r="266" spans="1:39" x14ac:dyDescent="0.35">
      <c r="A266" s="34" t="s">
        <v>787</v>
      </c>
      <c r="B266" s="27">
        <v>37</v>
      </c>
      <c r="C266" s="27" t="s">
        <v>4</v>
      </c>
      <c r="D266" s="27" t="s">
        <v>788</v>
      </c>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t="s">
        <v>765</v>
      </c>
      <c r="AM266" s="27" t="s">
        <v>766</v>
      </c>
    </row>
    <row r="267" spans="1:39" ht="188.5" x14ac:dyDescent="0.35">
      <c r="A267" s="34" t="s">
        <v>789</v>
      </c>
      <c r="B267" s="27">
        <v>36</v>
      </c>
      <c r="C267" s="27" t="s">
        <v>79</v>
      </c>
      <c r="D267" s="28" t="s">
        <v>790</v>
      </c>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t="s">
        <v>765</v>
      </c>
      <c r="AM267" s="27" t="s">
        <v>766</v>
      </c>
    </row>
    <row r="268" spans="1:39" ht="174" x14ac:dyDescent="0.35">
      <c r="A268" s="34" t="s">
        <v>791</v>
      </c>
      <c r="B268" s="27">
        <v>36</v>
      </c>
      <c r="C268" s="27" t="s">
        <v>79</v>
      </c>
      <c r="D268" s="28" t="s">
        <v>792</v>
      </c>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t="s">
        <v>765</v>
      </c>
      <c r="AM268" s="27" t="s">
        <v>766</v>
      </c>
    </row>
    <row r="269" spans="1:39" ht="29" x14ac:dyDescent="0.35">
      <c r="A269" s="34" t="s">
        <v>793</v>
      </c>
      <c r="B269" s="27">
        <v>36</v>
      </c>
      <c r="C269" s="27" t="s">
        <v>79</v>
      </c>
      <c r="D269" s="28" t="s">
        <v>794</v>
      </c>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t="s">
        <v>765</v>
      </c>
      <c r="AM269" s="27" t="s">
        <v>766</v>
      </c>
    </row>
    <row r="270" spans="1:39" x14ac:dyDescent="0.35">
      <c r="A270" s="34" t="s">
        <v>795</v>
      </c>
      <c r="B270" s="27">
        <v>37</v>
      </c>
      <c r="C270" s="27" t="s">
        <v>6</v>
      </c>
      <c r="D270" s="35" t="s">
        <v>796</v>
      </c>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t="s">
        <v>765</v>
      </c>
      <c r="AM270" s="27" t="s">
        <v>766</v>
      </c>
    </row>
    <row r="271" spans="1:39" x14ac:dyDescent="0.35">
      <c r="A271" s="34" t="s">
        <v>797</v>
      </c>
      <c r="B271" s="27">
        <v>37</v>
      </c>
      <c r="C271" s="27" t="s">
        <v>6</v>
      </c>
      <c r="D271" s="35" t="s">
        <v>325</v>
      </c>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t="s">
        <v>765</v>
      </c>
      <c r="AM271" s="27" t="s">
        <v>766</v>
      </c>
    </row>
    <row r="272" spans="1:39" x14ac:dyDescent="0.35">
      <c r="A272" s="34" t="s">
        <v>798</v>
      </c>
      <c r="B272" s="27">
        <v>36</v>
      </c>
      <c r="C272" s="27" t="s">
        <v>36</v>
      </c>
      <c r="D272" s="27" t="s">
        <v>799</v>
      </c>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t="s">
        <v>765</v>
      </c>
      <c r="AM272" s="27" t="s">
        <v>766</v>
      </c>
    </row>
    <row r="273" spans="1:39" x14ac:dyDescent="0.35">
      <c r="A273" s="34" t="s">
        <v>800</v>
      </c>
      <c r="B273" s="27">
        <v>36</v>
      </c>
      <c r="C273" s="27" t="s">
        <v>36</v>
      </c>
      <c r="D273" s="27" t="s">
        <v>801</v>
      </c>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t="s">
        <v>765</v>
      </c>
      <c r="AM273" s="27" t="s">
        <v>766</v>
      </c>
    </row>
    <row r="274" spans="1:39" x14ac:dyDescent="0.35">
      <c r="A274" s="34" t="s">
        <v>802</v>
      </c>
      <c r="B274" s="27">
        <v>36</v>
      </c>
      <c r="C274" s="27" t="s">
        <v>36</v>
      </c>
      <c r="D274" s="27" t="s">
        <v>803</v>
      </c>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t="s">
        <v>765</v>
      </c>
      <c r="AM274" s="27" t="s">
        <v>766</v>
      </c>
    </row>
    <row r="275" spans="1:39" x14ac:dyDescent="0.35">
      <c r="A275" s="34" t="s">
        <v>804</v>
      </c>
      <c r="B275" s="27">
        <v>36</v>
      </c>
      <c r="C275" s="27" t="s">
        <v>36</v>
      </c>
      <c r="D275" s="27" t="s">
        <v>805</v>
      </c>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t="s">
        <v>765</v>
      </c>
      <c r="AM275" s="27" t="s">
        <v>766</v>
      </c>
    </row>
    <row r="276" spans="1:39" x14ac:dyDescent="0.35">
      <c r="A276" s="34" t="s">
        <v>806</v>
      </c>
      <c r="B276" s="27">
        <v>38</v>
      </c>
      <c r="C276" s="27" t="s">
        <v>68</v>
      </c>
      <c r="D276" s="28" t="s">
        <v>807</v>
      </c>
      <c r="E276" s="27" t="str">
        <f>A285</f>
        <v>Ref-065</v>
      </c>
      <c r="F276" s="27"/>
      <c r="G276" s="27" t="str">
        <f>A288</f>
        <v>Gs-098</v>
      </c>
      <c r="H276" s="27" t="str">
        <f>A277</f>
        <v>Cl-048</v>
      </c>
      <c r="I276" s="27" t="s">
        <v>65</v>
      </c>
      <c r="J276" s="27" t="str">
        <f>A278</f>
        <v>Cl-049</v>
      </c>
      <c r="K276" s="27" t="s">
        <v>65</v>
      </c>
      <c r="L276" s="27"/>
      <c r="M276" s="27"/>
      <c r="N276" s="27"/>
      <c r="O276" s="27"/>
      <c r="P276" s="27"/>
      <c r="Q276" s="27"/>
      <c r="R276" s="27" t="str">
        <f>A279</f>
        <v>RT-030</v>
      </c>
      <c r="S276" s="27" t="s">
        <v>61</v>
      </c>
      <c r="T276" s="27" t="str">
        <f>A280</f>
        <v>RT-031</v>
      </c>
      <c r="U276" s="27" t="s">
        <v>61</v>
      </c>
      <c r="V276" s="27" t="str">
        <f>A281</f>
        <v>RT-032</v>
      </c>
      <c r="W276" s="27" t="s">
        <v>61</v>
      </c>
      <c r="X276" s="27" t="str">
        <f>A282</f>
        <v>RT-033</v>
      </c>
      <c r="Y276" s="27" t="s">
        <v>61</v>
      </c>
      <c r="Z276" s="27"/>
      <c r="AA276" s="27"/>
      <c r="AB276" s="27"/>
      <c r="AC276" s="27"/>
      <c r="AD276" s="27"/>
      <c r="AE276" s="27"/>
      <c r="AF276" s="27"/>
      <c r="AG276" s="27"/>
      <c r="AH276" s="27"/>
      <c r="AI276" s="27"/>
      <c r="AJ276" s="27"/>
      <c r="AK276" s="27"/>
      <c r="AL276" s="27" t="s">
        <v>808</v>
      </c>
      <c r="AM276" s="27" t="s">
        <v>809</v>
      </c>
    </row>
    <row r="277" spans="1:39" x14ac:dyDescent="0.35">
      <c r="A277" s="34" t="s">
        <v>810</v>
      </c>
      <c r="B277" s="27">
        <v>38</v>
      </c>
      <c r="C277" s="27" t="s">
        <v>128</v>
      </c>
      <c r="D277" s="28" t="s">
        <v>811</v>
      </c>
      <c r="E277" s="27" t="str">
        <f>A286</f>
        <v>Ref-066</v>
      </c>
      <c r="F277" s="27" t="str">
        <f>A283</f>
        <v>Fn-054</v>
      </c>
      <c r="G277" s="27" t="str">
        <f>A288</f>
        <v>Gs-098</v>
      </c>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t="s">
        <v>808</v>
      </c>
      <c r="AM277" s="27" t="s">
        <v>809</v>
      </c>
    </row>
    <row r="278" spans="1:39" ht="29" x14ac:dyDescent="0.35">
      <c r="A278" s="34" t="s">
        <v>812</v>
      </c>
      <c r="B278" s="27">
        <v>38</v>
      </c>
      <c r="C278" s="27" t="s">
        <v>128</v>
      </c>
      <c r="D278" s="28" t="s">
        <v>813</v>
      </c>
      <c r="E278" s="27" t="str">
        <f>A287</f>
        <v>Ref-067</v>
      </c>
      <c r="F278" s="27" t="str">
        <f>A284</f>
        <v>Fn-055</v>
      </c>
      <c r="G278" s="27" t="str">
        <f>A288</f>
        <v>Gs-098</v>
      </c>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t="s">
        <v>808</v>
      </c>
      <c r="AM278" s="27" t="s">
        <v>809</v>
      </c>
    </row>
    <row r="279" spans="1:39" x14ac:dyDescent="0.35">
      <c r="A279" s="34" t="s">
        <v>814</v>
      </c>
      <c r="B279" s="27">
        <v>38</v>
      </c>
      <c r="C279" s="27" t="s">
        <v>32</v>
      </c>
      <c r="D279" s="27" t="s">
        <v>815</v>
      </c>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t="s">
        <v>808</v>
      </c>
      <c r="AM279" s="27" t="s">
        <v>809</v>
      </c>
    </row>
    <row r="280" spans="1:39" x14ac:dyDescent="0.35">
      <c r="A280" s="34" t="s">
        <v>816</v>
      </c>
      <c r="B280" s="27">
        <v>38</v>
      </c>
      <c r="C280" s="27" t="s">
        <v>32</v>
      </c>
      <c r="D280" s="27" t="s">
        <v>817</v>
      </c>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t="s">
        <v>808</v>
      </c>
      <c r="AM280" s="27" t="s">
        <v>809</v>
      </c>
    </row>
    <row r="281" spans="1:39" x14ac:dyDescent="0.35">
      <c r="A281" s="34" t="s">
        <v>818</v>
      </c>
      <c r="B281" s="27">
        <v>38</v>
      </c>
      <c r="C281" s="27" t="s">
        <v>32</v>
      </c>
      <c r="D281" s="27" t="s">
        <v>819</v>
      </c>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t="s">
        <v>808</v>
      </c>
      <c r="AM281" s="27" t="s">
        <v>809</v>
      </c>
    </row>
    <row r="282" spans="1:39" x14ac:dyDescent="0.35">
      <c r="A282" s="34" t="s">
        <v>820</v>
      </c>
      <c r="B282" s="27">
        <v>38</v>
      </c>
      <c r="C282" s="27" t="s">
        <v>32</v>
      </c>
      <c r="D282" s="27" t="s">
        <v>821</v>
      </c>
      <c r="E282" s="27"/>
      <c r="F282" s="27"/>
      <c r="G282" s="27" t="str">
        <f>A288</f>
        <v>Gs-098</v>
      </c>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t="s">
        <v>808</v>
      </c>
      <c r="AM282" s="27" t="s">
        <v>809</v>
      </c>
    </row>
    <row r="283" spans="1:39" ht="72.5" x14ac:dyDescent="0.35">
      <c r="A283" s="34" t="s">
        <v>822</v>
      </c>
      <c r="B283" s="27">
        <v>38</v>
      </c>
      <c r="C283" s="27" t="s">
        <v>79</v>
      </c>
      <c r="D283" s="28" t="s">
        <v>823</v>
      </c>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t="s">
        <v>808</v>
      </c>
      <c r="AM283" s="27" t="s">
        <v>809</v>
      </c>
    </row>
    <row r="284" spans="1:39" ht="87" x14ac:dyDescent="0.35">
      <c r="A284" s="34" t="s">
        <v>824</v>
      </c>
      <c r="B284" s="27">
        <v>38</v>
      </c>
      <c r="C284" s="27" t="s">
        <v>79</v>
      </c>
      <c r="D284" s="36" t="s">
        <v>825</v>
      </c>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t="s">
        <v>808</v>
      </c>
      <c r="AM284" s="27" t="s">
        <v>809</v>
      </c>
    </row>
    <row r="285" spans="1:39" ht="58" x14ac:dyDescent="0.35">
      <c r="A285" s="34" t="s">
        <v>826</v>
      </c>
      <c r="B285" s="27">
        <v>39</v>
      </c>
      <c r="C285" s="27" t="s">
        <v>4</v>
      </c>
      <c r="D285" s="27" t="s">
        <v>827</v>
      </c>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t="s">
        <v>808</v>
      </c>
      <c r="AM285" s="27" t="s">
        <v>809</v>
      </c>
    </row>
    <row r="286" spans="1:39" x14ac:dyDescent="0.35">
      <c r="A286" s="34" t="s">
        <v>828</v>
      </c>
      <c r="B286" s="27">
        <v>39</v>
      </c>
      <c r="C286" s="27" t="s">
        <v>4</v>
      </c>
      <c r="D286" s="35" t="s">
        <v>387</v>
      </c>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t="s">
        <v>808</v>
      </c>
      <c r="AM286" s="27" t="s">
        <v>809</v>
      </c>
    </row>
    <row r="287" spans="1:39" ht="29" x14ac:dyDescent="0.35">
      <c r="A287" s="34" t="s">
        <v>829</v>
      </c>
      <c r="B287" s="27">
        <v>39</v>
      </c>
      <c r="C287" s="27" t="s">
        <v>4</v>
      </c>
      <c r="D287" s="27" t="s">
        <v>830</v>
      </c>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t="s">
        <v>808</v>
      </c>
      <c r="AM287" s="27" t="s">
        <v>809</v>
      </c>
    </row>
    <row r="288" spans="1:39" x14ac:dyDescent="0.35">
      <c r="A288" s="34" t="s">
        <v>831</v>
      </c>
      <c r="B288" s="27">
        <v>39</v>
      </c>
      <c r="C288" s="27" t="s">
        <v>6</v>
      </c>
      <c r="D288" s="35" t="s">
        <v>832</v>
      </c>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row>
    <row r="289" spans="1:39" ht="29" x14ac:dyDescent="0.35">
      <c r="A289" s="34" t="s">
        <v>833</v>
      </c>
      <c r="B289" s="27">
        <v>39</v>
      </c>
      <c r="C289" s="27" t="s">
        <v>6</v>
      </c>
      <c r="D289" s="27" t="s">
        <v>834</v>
      </c>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t="s">
        <v>808</v>
      </c>
      <c r="AM289" s="27" t="s">
        <v>809</v>
      </c>
    </row>
    <row r="290" spans="1:39" x14ac:dyDescent="0.35">
      <c r="A290" s="34" t="s">
        <v>835</v>
      </c>
      <c r="B290" s="27">
        <v>40</v>
      </c>
      <c r="C290" s="27" t="s">
        <v>68</v>
      </c>
      <c r="D290" s="28" t="s">
        <v>836</v>
      </c>
      <c r="E290" s="27" t="str">
        <f>A293</f>
        <v>Ref-068</v>
      </c>
      <c r="F290" s="27"/>
      <c r="G290" s="27"/>
      <c r="H290" s="27"/>
      <c r="I290" s="27"/>
      <c r="J290" s="27"/>
      <c r="K290" s="27"/>
      <c r="L290" s="27"/>
      <c r="M290" s="27"/>
      <c r="N290" s="27"/>
      <c r="O290" s="27"/>
      <c r="P290" s="27"/>
      <c r="Q290" s="27"/>
      <c r="R290" s="27"/>
      <c r="S290" s="27"/>
      <c r="T290" s="27"/>
      <c r="U290" s="27"/>
      <c r="V290" s="27"/>
      <c r="W290" s="27"/>
      <c r="X290" s="27"/>
      <c r="Y290" s="27"/>
      <c r="Z290" s="27"/>
      <c r="AA290" s="27"/>
      <c r="AB290" s="27" t="str">
        <f>A291</f>
        <v>Comp-046</v>
      </c>
      <c r="AC290" s="27" t="s">
        <v>65</v>
      </c>
      <c r="AD290" s="27"/>
      <c r="AE290" s="27"/>
      <c r="AF290" s="27"/>
      <c r="AG290" s="27"/>
      <c r="AH290" s="27"/>
      <c r="AI290" s="27"/>
      <c r="AJ290" s="27"/>
      <c r="AK290" s="27"/>
      <c r="AL290" s="27" t="s">
        <v>808</v>
      </c>
      <c r="AM290" s="27" t="s">
        <v>809</v>
      </c>
    </row>
    <row r="291" spans="1:39" x14ac:dyDescent="0.35">
      <c r="A291" s="34" t="s">
        <v>837</v>
      </c>
      <c r="B291" s="27">
        <v>40</v>
      </c>
      <c r="C291" s="27" t="s">
        <v>36</v>
      </c>
      <c r="D291" s="27" t="s">
        <v>838</v>
      </c>
      <c r="E291" s="27" t="str">
        <f>A293</f>
        <v>Ref-068</v>
      </c>
      <c r="F291" s="27"/>
      <c r="G291" s="27" t="str">
        <f>A292</f>
        <v>Gs-029</v>
      </c>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t="s">
        <v>808</v>
      </c>
      <c r="AM291" s="27" t="s">
        <v>809</v>
      </c>
    </row>
    <row r="292" spans="1:39" x14ac:dyDescent="0.35">
      <c r="A292" s="34" t="s">
        <v>839</v>
      </c>
      <c r="B292" s="27">
        <v>40</v>
      </c>
      <c r="C292" s="27" t="s">
        <v>6</v>
      </c>
      <c r="D292" s="27" t="s">
        <v>840</v>
      </c>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t="s">
        <v>808</v>
      </c>
      <c r="AM292" s="27" t="s">
        <v>809</v>
      </c>
    </row>
    <row r="293" spans="1:39" ht="116" x14ac:dyDescent="0.35">
      <c r="A293" s="34" t="s">
        <v>841</v>
      </c>
      <c r="B293" s="27">
        <v>40</v>
      </c>
      <c r="C293" s="27" t="s">
        <v>4</v>
      </c>
      <c r="D293" s="27" t="s">
        <v>842</v>
      </c>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t="s">
        <v>808</v>
      </c>
      <c r="AM293" s="27" t="s">
        <v>809</v>
      </c>
    </row>
    <row r="294" spans="1:39" x14ac:dyDescent="0.35">
      <c r="A294" s="34" t="s">
        <v>843</v>
      </c>
      <c r="B294" s="27">
        <v>41</v>
      </c>
      <c r="C294" s="27" t="s">
        <v>68</v>
      </c>
      <c r="D294" s="28" t="s">
        <v>844</v>
      </c>
      <c r="E294" s="27" t="str">
        <f>A298</f>
        <v>Ref-069</v>
      </c>
      <c r="F294" s="27" t="str">
        <f>A299</f>
        <v>Fn-056</v>
      </c>
      <c r="G294" s="27" t="str">
        <f>A300</f>
        <v>Gs-030</v>
      </c>
      <c r="H294" s="27"/>
      <c r="I294" s="27"/>
      <c r="J294" s="27"/>
      <c r="K294" s="27"/>
      <c r="L294" s="27"/>
      <c r="M294" s="27"/>
      <c r="N294" s="27"/>
      <c r="O294" s="27"/>
      <c r="P294" s="27"/>
      <c r="Q294" s="27"/>
      <c r="R294" s="27" t="str">
        <f>A295</f>
        <v>RT-034</v>
      </c>
      <c r="S294" s="27" t="s">
        <v>61</v>
      </c>
      <c r="T294" s="27" t="str">
        <f>A296</f>
        <v>RT-035</v>
      </c>
      <c r="U294" s="27" t="s">
        <v>61</v>
      </c>
      <c r="V294" s="27"/>
      <c r="W294" s="27"/>
      <c r="X294" s="27"/>
      <c r="Y294" s="27"/>
      <c r="Z294" s="27"/>
      <c r="AA294" s="27"/>
      <c r="AB294" s="27" t="str">
        <f>A297</f>
        <v>Comp-047</v>
      </c>
      <c r="AC294" s="27" t="s">
        <v>65</v>
      </c>
      <c r="AD294" s="27"/>
      <c r="AE294" s="27"/>
      <c r="AF294" s="27"/>
      <c r="AG294" s="27"/>
      <c r="AH294" s="27"/>
      <c r="AI294" s="27"/>
      <c r="AJ294" s="27"/>
      <c r="AK294" s="27"/>
      <c r="AL294" s="27" t="s">
        <v>808</v>
      </c>
      <c r="AM294" s="27" t="s">
        <v>809</v>
      </c>
    </row>
    <row r="295" spans="1:39" x14ac:dyDescent="0.35">
      <c r="A295" s="34" t="s">
        <v>845</v>
      </c>
      <c r="B295" s="27">
        <v>41</v>
      </c>
      <c r="C295" s="27" t="s">
        <v>32</v>
      </c>
      <c r="D295" s="28" t="s">
        <v>846</v>
      </c>
      <c r="E295" s="27" t="str">
        <f>A301</f>
        <v>Ref-070</v>
      </c>
      <c r="F295" s="27" t="str">
        <f>A303</f>
        <v>Fn-057</v>
      </c>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t="s">
        <v>808</v>
      </c>
      <c r="AM295" s="27" t="s">
        <v>809</v>
      </c>
    </row>
    <row r="296" spans="1:39" x14ac:dyDescent="0.35">
      <c r="A296" s="34" t="s">
        <v>847</v>
      </c>
      <c r="B296" s="27">
        <v>41</v>
      </c>
      <c r="C296" s="27" t="s">
        <v>32</v>
      </c>
      <c r="D296" s="28" t="s">
        <v>848</v>
      </c>
      <c r="E296" s="27" t="str">
        <f>A302</f>
        <v>Ref-071</v>
      </c>
      <c r="F296" s="27" t="str">
        <f>A304</f>
        <v>Fn-058</v>
      </c>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t="s">
        <v>808</v>
      </c>
      <c r="AM296" s="27" t="s">
        <v>809</v>
      </c>
    </row>
    <row r="297" spans="1:39" x14ac:dyDescent="0.35">
      <c r="A297" s="34" t="s">
        <v>849</v>
      </c>
      <c r="B297" s="27">
        <v>41</v>
      </c>
      <c r="C297" s="27" t="s">
        <v>36</v>
      </c>
      <c r="D297" s="27" t="s">
        <v>850</v>
      </c>
      <c r="E297" s="27" t="str">
        <f>A301&amp; " "&amp;A302</f>
        <v>Ref-070 Ref-071</v>
      </c>
      <c r="F297" s="27"/>
      <c r="G297" s="27" t="str">
        <f>A305</f>
        <v>Gs-031</v>
      </c>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t="s">
        <v>808</v>
      </c>
      <c r="AM297" s="27" t="s">
        <v>809</v>
      </c>
    </row>
    <row r="298" spans="1:39" ht="72.5" x14ac:dyDescent="0.35">
      <c r="A298" s="34" t="s">
        <v>851</v>
      </c>
      <c r="B298" s="27">
        <v>41</v>
      </c>
      <c r="C298" s="27" t="s">
        <v>4</v>
      </c>
      <c r="D298" s="27" t="s">
        <v>852</v>
      </c>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t="s">
        <v>808</v>
      </c>
      <c r="AM298" s="27" t="s">
        <v>809</v>
      </c>
    </row>
    <row r="299" spans="1:39" ht="72.5" x14ac:dyDescent="0.35">
      <c r="A299" s="34" t="s">
        <v>853</v>
      </c>
      <c r="B299" s="27">
        <v>41</v>
      </c>
      <c r="C299" s="27" t="s">
        <v>79</v>
      </c>
      <c r="D299" s="27" t="s">
        <v>854</v>
      </c>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t="s">
        <v>808</v>
      </c>
      <c r="AM299" s="27" t="s">
        <v>809</v>
      </c>
    </row>
    <row r="300" spans="1:39" ht="87" x14ac:dyDescent="0.35">
      <c r="A300" s="34" t="s">
        <v>855</v>
      </c>
      <c r="B300" s="27">
        <v>41</v>
      </c>
      <c r="C300" s="27" t="s">
        <v>6</v>
      </c>
      <c r="D300" s="27" t="s">
        <v>856</v>
      </c>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t="s">
        <v>808</v>
      </c>
      <c r="AM300" s="27" t="s">
        <v>809</v>
      </c>
    </row>
    <row r="301" spans="1:39" ht="43.5" x14ac:dyDescent="0.35">
      <c r="A301" s="34" t="s">
        <v>857</v>
      </c>
      <c r="B301" s="27">
        <v>41</v>
      </c>
      <c r="C301" s="27" t="s">
        <v>4</v>
      </c>
      <c r="D301" s="27" t="s">
        <v>858</v>
      </c>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t="s">
        <v>808</v>
      </c>
      <c r="AM301" s="27" t="s">
        <v>809</v>
      </c>
    </row>
    <row r="302" spans="1:39" x14ac:dyDescent="0.35">
      <c r="A302" s="34" t="s">
        <v>859</v>
      </c>
      <c r="B302" s="27">
        <v>41</v>
      </c>
      <c r="C302" s="27" t="s">
        <v>4</v>
      </c>
      <c r="D302" s="35" t="s">
        <v>860</v>
      </c>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t="s">
        <v>808</v>
      </c>
      <c r="AM302" s="27" t="s">
        <v>809</v>
      </c>
    </row>
    <row r="303" spans="1:39" ht="58" x14ac:dyDescent="0.35">
      <c r="A303" s="34" t="s">
        <v>861</v>
      </c>
      <c r="B303" s="27">
        <v>41</v>
      </c>
      <c r="C303" s="27" t="s">
        <v>79</v>
      </c>
      <c r="D303" s="28" t="s">
        <v>862</v>
      </c>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t="s">
        <v>808</v>
      </c>
      <c r="AM303" s="27" t="s">
        <v>809</v>
      </c>
    </row>
    <row r="304" spans="1:39" ht="43.5" x14ac:dyDescent="0.35">
      <c r="A304" s="34" t="s">
        <v>863</v>
      </c>
      <c r="B304" s="27">
        <v>41</v>
      </c>
      <c r="C304" s="27" t="s">
        <v>79</v>
      </c>
      <c r="D304" s="28" t="s">
        <v>864</v>
      </c>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t="s">
        <v>808</v>
      </c>
      <c r="AM304" s="27" t="s">
        <v>809</v>
      </c>
    </row>
    <row r="305" spans="1:39" ht="72.5" x14ac:dyDescent="0.35">
      <c r="A305" s="34" t="s">
        <v>865</v>
      </c>
      <c r="B305" s="27">
        <v>41</v>
      </c>
      <c r="C305" s="27" t="s">
        <v>6</v>
      </c>
      <c r="D305" s="27" t="s">
        <v>866</v>
      </c>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t="s">
        <v>808</v>
      </c>
      <c r="AM305" s="27" t="s">
        <v>809</v>
      </c>
    </row>
    <row r="306" spans="1:39" ht="29" x14ac:dyDescent="0.35">
      <c r="A306" s="34" t="s">
        <v>867</v>
      </c>
      <c r="B306" s="27">
        <v>42</v>
      </c>
      <c r="C306" s="27" t="s">
        <v>68</v>
      </c>
      <c r="D306" s="28" t="s">
        <v>868</v>
      </c>
      <c r="E306" s="27" t="str">
        <f>A310</f>
        <v>Ref-072</v>
      </c>
      <c r="F306" s="27" t="str">
        <f>A311</f>
        <v>Fn-059</v>
      </c>
      <c r="G306" s="27" t="str">
        <f>A312</f>
        <v>Gs-032</v>
      </c>
      <c r="H306" s="27"/>
      <c r="I306" s="27"/>
      <c r="J306" s="27"/>
      <c r="K306" s="27"/>
      <c r="L306" s="27"/>
      <c r="M306" s="27"/>
      <c r="N306" s="27"/>
      <c r="O306" s="27"/>
      <c r="P306" s="27"/>
      <c r="Q306" s="27"/>
      <c r="R306" s="27" t="str">
        <f>A307</f>
        <v>RT-036</v>
      </c>
      <c r="S306" s="27" t="s">
        <v>61</v>
      </c>
      <c r="T306" s="27" t="str">
        <f>A308</f>
        <v>RT-037</v>
      </c>
      <c r="U306" s="27" t="s">
        <v>61</v>
      </c>
      <c r="V306" s="27"/>
      <c r="W306" s="27"/>
      <c r="X306" s="27"/>
      <c r="Y306" s="27"/>
      <c r="Z306" s="27"/>
      <c r="AA306" s="27"/>
      <c r="AB306" s="27" t="str">
        <f>A309</f>
        <v>Comp-048</v>
      </c>
      <c r="AC306" s="27" t="s">
        <v>65</v>
      </c>
      <c r="AD306" s="27"/>
      <c r="AE306" s="27"/>
      <c r="AF306" s="27"/>
      <c r="AG306" s="27"/>
      <c r="AH306" s="27"/>
      <c r="AI306" s="27"/>
      <c r="AJ306" s="27"/>
      <c r="AK306" s="27"/>
      <c r="AL306" s="27" t="s">
        <v>808</v>
      </c>
      <c r="AM306" s="27" t="s">
        <v>809</v>
      </c>
    </row>
    <row r="307" spans="1:39" x14ac:dyDescent="0.35">
      <c r="A307" s="34" t="s">
        <v>869</v>
      </c>
      <c r="B307" s="27">
        <v>42</v>
      </c>
      <c r="C307" s="27" t="s">
        <v>32</v>
      </c>
      <c r="D307" s="28" t="s">
        <v>870</v>
      </c>
      <c r="E307" s="27" t="str">
        <f>A313</f>
        <v>Ref-073</v>
      </c>
      <c r="F307" s="27" t="str">
        <f>A315</f>
        <v>Fn-060</v>
      </c>
      <c r="G307" s="27" t="str">
        <f>A317</f>
        <v>Gs-033</v>
      </c>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t="s">
        <v>808</v>
      </c>
      <c r="AM307" s="27" t="s">
        <v>809</v>
      </c>
    </row>
    <row r="308" spans="1:39" x14ac:dyDescent="0.35">
      <c r="A308" s="34" t="s">
        <v>247</v>
      </c>
      <c r="B308" s="27">
        <v>42</v>
      </c>
      <c r="C308" s="27" t="s">
        <v>32</v>
      </c>
      <c r="D308" s="28" t="s">
        <v>871</v>
      </c>
      <c r="E308" s="27" t="str">
        <f>A314</f>
        <v>Ref-074</v>
      </c>
      <c r="F308" s="27" t="str">
        <f>A316</f>
        <v>Fn-061</v>
      </c>
      <c r="G308" s="27" t="str">
        <f>A317</f>
        <v>Gs-033</v>
      </c>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t="s">
        <v>808</v>
      </c>
      <c r="AM308" s="27" t="s">
        <v>809</v>
      </c>
    </row>
    <row r="309" spans="1:39" x14ac:dyDescent="0.35">
      <c r="A309" s="34" t="s">
        <v>872</v>
      </c>
      <c r="B309" s="27">
        <v>42</v>
      </c>
      <c r="C309" s="27" t="s">
        <v>36</v>
      </c>
      <c r="D309" s="27" t="s">
        <v>873</v>
      </c>
      <c r="E309" s="27" t="str">
        <f>A313&amp; " "&amp;A314</f>
        <v>Ref-073 Ref-074</v>
      </c>
      <c r="F309" s="27"/>
      <c r="G309" s="27" t="str">
        <f>A318</f>
        <v>Gs-034</v>
      </c>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t="s">
        <v>808</v>
      </c>
      <c r="AM309" s="27" t="s">
        <v>809</v>
      </c>
    </row>
    <row r="310" spans="1:39" ht="58" x14ac:dyDescent="0.35">
      <c r="A310" s="34" t="s">
        <v>874</v>
      </c>
      <c r="B310" s="27">
        <v>42</v>
      </c>
      <c r="C310" s="27" t="s">
        <v>4</v>
      </c>
      <c r="D310" s="27" t="s">
        <v>875</v>
      </c>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t="s">
        <v>808</v>
      </c>
      <c r="AM310" s="27" t="s">
        <v>809</v>
      </c>
    </row>
    <row r="311" spans="1:39" ht="72.5" x14ac:dyDescent="0.35">
      <c r="A311" s="34" t="s">
        <v>876</v>
      </c>
      <c r="B311" s="27">
        <v>42</v>
      </c>
      <c r="C311" s="27" t="s">
        <v>79</v>
      </c>
      <c r="D311" s="27" t="s">
        <v>854</v>
      </c>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t="s">
        <v>808</v>
      </c>
      <c r="AM311" s="27" t="s">
        <v>809</v>
      </c>
    </row>
    <row r="312" spans="1:39" ht="58" x14ac:dyDescent="0.35">
      <c r="A312" s="34" t="s">
        <v>877</v>
      </c>
      <c r="B312" s="27">
        <v>42</v>
      </c>
      <c r="C312" s="27" t="s">
        <v>6</v>
      </c>
      <c r="D312" s="27" t="s">
        <v>878</v>
      </c>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t="s">
        <v>808</v>
      </c>
      <c r="AM312" s="27" t="s">
        <v>809</v>
      </c>
    </row>
    <row r="313" spans="1:39" ht="43.5" x14ac:dyDescent="0.35">
      <c r="A313" s="34" t="s">
        <v>879</v>
      </c>
      <c r="B313" s="27">
        <v>42</v>
      </c>
      <c r="C313" s="27" t="s">
        <v>4</v>
      </c>
      <c r="D313" s="27" t="s">
        <v>880</v>
      </c>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t="s">
        <v>808</v>
      </c>
      <c r="AM313" s="27" t="s">
        <v>809</v>
      </c>
    </row>
    <row r="314" spans="1:39" x14ac:dyDescent="0.35">
      <c r="A314" s="34" t="s">
        <v>881</v>
      </c>
      <c r="B314" s="27">
        <v>42</v>
      </c>
      <c r="C314" s="27" t="s">
        <v>4</v>
      </c>
      <c r="D314" s="35" t="s">
        <v>882</v>
      </c>
      <c r="E314" s="27"/>
      <c r="F314" s="36"/>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t="s">
        <v>808</v>
      </c>
      <c r="AM314" s="27" t="s">
        <v>809</v>
      </c>
    </row>
    <row r="315" spans="1:39" ht="72.5" x14ac:dyDescent="0.35">
      <c r="A315" s="34" t="s">
        <v>883</v>
      </c>
      <c r="B315" s="27">
        <v>42</v>
      </c>
      <c r="C315" s="27" t="s">
        <v>79</v>
      </c>
      <c r="D315" s="27" t="s">
        <v>884</v>
      </c>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t="s">
        <v>808</v>
      </c>
      <c r="AM315" s="27" t="s">
        <v>809</v>
      </c>
    </row>
    <row r="316" spans="1:39" ht="29" x14ac:dyDescent="0.35">
      <c r="A316" s="34" t="s">
        <v>885</v>
      </c>
      <c r="B316" s="27">
        <v>42</v>
      </c>
      <c r="C316" s="27" t="s">
        <v>79</v>
      </c>
      <c r="D316" s="27" t="s">
        <v>886</v>
      </c>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t="s">
        <v>808</v>
      </c>
      <c r="AM316" s="27" t="s">
        <v>809</v>
      </c>
    </row>
    <row r="317" spans="1:39" x14ac:dyDescent="0.35">
      <c r="A317" s="34" t="s">
        <v>887</v>
      </c>
      <c r="B317" s="27">
        <v>42</v>
      </c>
      <c r="C317" s="27" t="s">
        <v>6</v>
      </c>
      <c r="D317" s="36" t="s">
        <v>888</v>
      </c>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t="s">
        <v>808</v>
      </c>
      <c r="AM317" s="27" t="s">
        <v>809</v>
      </c>
    </row>
    <row r="318" spans="1:39" ht="72.5" x14ac:dyDescent="0.35">
      <c r="A318" s="34" t="s">
        <v>889</v>
      </c>
      <c r="B318" s="27">
        <v>42</v>
      </c>
      <c r="C318" s="27" t="s">
        <v>6</v>
      </c>
      <c r="D318" s="27" t="s">
        <v>866</v>
      </c>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t="s">
        <v>808</v>
      </c>
      <c r="AM318" s="27" t="s">
        <v>809</v>
      </c>
    </row>
    <row r="319" spans="1:39" x14ac:dyDescent="0.35">
      <c r="A319" s="34" t="s">
        <v>890</v>
      </c>
      <c r="B319" s="27">
        <v>43</v>
      </c>
      <c r="C319" s="27" t="s">
        <v>68</v>
      </c>
      <c r="D319" s="27" t="s">
        <v>891</v>
      </c>
      <c r="E319" s="27" t="str">
        <f>A322</f>
        <v>Ref-126</v>
      </c>
      <c r="F319" s="27" t="str">
        <f>A328</f>
        <v>Fn-063</v>
      </c>
      <c r="G319" s="27"/>
      <c r="H319" s="27"/>
      <c r="I319" s="27"/>
      <c r="J319" s="27"/>
      <c r="K319" s="27"/>
      <c r="L319" s="27"/>
      <c r="M319" s="27"/>
      <c r="N319" s="27"/>
      <c r="O319" s="27"/>
      <c r="P319" s="27"/>
      <c r="Q319" s="27"/>
      <c r="R319" s="27" t="str">
        <f>A320</f>
        <v>RT-038</v>
      </c>
      <c r="S319" s="27" t="s">
        <v>61</v>
      </c>
      <c r="T319" s="27" t="str">
        <f>A321</f>
        <v>RT-039</v>
      </c>
      <c r="U319" s="27" t="s">
        <v>61</v>
      </c>
      <c r="V319" s="27"/>
      <c r="W319" s="27"/>
      <c r="X319" s="27"/>
      <c r="Y319" s="27"/>
      <c r="Z319" s="27"/>
      <c r="AA319" s="27"/>
      <c r="AB319" s="27" t="str">
        <f>A325</f>
        <v>Comp-049</v>
      </c>
      <c r="AC319" s="27" t="s">
        <v>65</v>
      </c>
      <c r="AD319" s="27"/>
      <c r="AE319" s="27"/>
      <c r="AF319" s="27"/>
      <c r="AG319" s="27"/>
      <c r="AH319" s="27"/>
      <c r="AI319" s="27"/>
      <c r="AJ319" s="27"/>
      <c r="AK319" s="27"/>
      <c r="AL319" s="27" t="s">
        <v>892</v>
      </c>
      <c r="AM319" s="27" t="s">
        <v>893</v>
      </c>
    </row>
    <row r="320" spans="1:39" x14ac:dyDescent="0.35">
      <c r="A320" s="34" t="s">
        <v>261</v>
      </c>
      <c r="B320" s="27">
        <v>43</v>
      </c>
      <c r="C320" s="27" t="s">
        <v>32</v>
      </c>
      <c r="D320" s="28" t="s">
        <v>894</v>
      </c>
      <c r="E320" s="27"/>
      <c r="F320" s="27" t="str">
        <f>A329</f>
        <v>Fn-064</v>
      </c>
      <c r="G320" s="27" t="str">
        <f>A323</f>
        <v>Gs-099</v>
      </c>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t="s">
        <v>892</v>
      </c>
      <c r="AM320" s="27" t="s">
        <v>893</v>
      </c>
    </row>
    <row r="321" spans="1:39" x14ac:dyDescent="0.35">
      <c r="A321" s="34" t="s">
        <v>264</v>
      </c>
      <c r="B321" s="27">
        <v>43</v>
      </c>
      <c r="C321" s="27" t="s">
        <v>32</v>
      </c>
      <c r="D321" s="28" t="s">
        <v>895</v>
      </c>
      <c r="E321" s="27" t="str">
        <f>A322</f>
        <v>Ref-126</v>
      </c>
      <c r="F321" s="27"/>
      <c r="G321" s="27" t="str">
        <f>A324</f>
        <v>Gs-100</v>
      </c>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t="s">
        <v>892</v>
      </c>
      <c r="AM321" s="27" t="s">
        <v>893</v>
      </c>
    </row>
    <row r="322" spans="1:39" ht="29" x14ac:dyDescent="0.35">
      <c r="A322" s="34" t="s">
        <v>896</v>
      </c>
      <c r="B322" s="27">
        <v>44</v>
      </c>
      <c r="C322" s="27" t="s">
        <v>4</v>
      </c>
      <c r="D322" s="27" t="s">
        <v>897</v>
      </c>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row>
    <row r="323" spans="1:39" ht="29" x14ac:dyDescent="0.35">
      <c r="A323" s="34" t="s">
        <v>898</v>
      </c>
      <c r="B323" s="27">
        <v>44</v>
      </c>
      <c r="C323" s="27" t="s">
        <v>6</v>
      </c>
      <c r="D323" s="27" t="s">
        <v>899</v>
      </c>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row>
    <row r="324" spans="1:39" x14ac:dyDescent="0.35">
      <c r="A324" s="34" t="s">
        <v>900</v>
      </c>
      <c r="B324" s="27">
        <v>44</v>
      </c>
      <c r="C324" s="27" t="s">
        <v>6</v>
      </c>
      <c r="D324" s="35" t="s">
        <v>686</v>
      </c>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row>
    <row r="325" spans="1:39" x14ac:dyDescent="0.35">
      <c r="A325" s="34" t="s">
        <v>901</v>
      </c>
      <c r="B325" s="27">
        <v>43</v>
      </c>
      <c r="C325" s="27" t="s">
        <v>36</v>
      </c>
      <c r="D325" s="27" t="s">
        <v>902</v>
      </c>
      <c r="E325" s="27" t="str">
        <f>A322</f>
        <v>Ref-126</v>
      </c>
      <c r="F325" s="27" t="str">
        <f>A327&amp; " "&amp;A330</f>
        <v>Fn-062 Fn-065</v>
      </c>
      <c r="G325" s="27" t="str">
        <f>A326</f>
        <v>Gs-101</v>
      </c>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t="s">
        <v>892</v>
      </c>
      <c r="AM325" s="27" t="s">
        <v>893</v>
      </c>
    </row>
    <row r="326" spans="1:39" x14ac:dyDescent="0.35">
      <c r="A326" s="34" t="s">
        <v>903</v>
      </c>
      <c r="B326" s="27">
        <v>44</v>
      </c>
      <c r="C326" s="27" t="s">
        <v>6</v>
      </c>
      <c r="D326" s="27" t="s">
        <v>904</v>
      </c>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row>
    <row r="327" spans="1:39" x14ac:dyDescent="0.35">
      <c r="A327" s="34" t="s">
        <v>905</v>
      </c>
      <c r="B327" s="27">
        <v>43</v>
      </c>
      <c r="C327" s="27" t="s">
        <v>79</v>
      </c>
      <c r="D327" s="27" t="s">
        <v>906</v>
      </c>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t="s">
        <v>892</v>
      </c>
      <c r="AM327" s="27" t="s">
        <v>893</v>
      </c>
    </row>
    <row r="328" spans="1:39" ht="58" x14ac:dyDescent="0.35">
      <c r="A328" s="34" t="s">
        <v>907</v>
      </c>
      <c r="B328" s="27">
        <v>43</v>
      </c>
      <c r="C328" s="27" t="s">
        <v>79</v>
      </c>
      <c r="D328" s="27" t="s">
        <v>908</v>
      </c>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t="s">
        <v>892</v>
      </c>
      <c r="AM328" s="27" t="s">
        <v>893</v>
      </c>
    </row>
    <row r="329" spans="1:39" x14ac:dyDescent="0.35">
      <c r="A329" s="34" t="s">
        <v>909</v>
      </c>
      <c r="B329" s="27">
        <v>43</v>
      </c>
      <c r="C329" s="27" t="s">
        <v>79</v>
      </c>
      <c r="D329" s="27" t="s">
        <v>910</v>
      </c>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t="s">
        <v>892</v>
      </c>
      <c r="AM329" s="27" t="s">
        <v>893</v>
      </c>
    </row>
    <row r="330" spans="1:39" x14ac:dyDescent="0.35">
      <c r="A330" s="34" t="s">
        <v>911</v>
      </c>
      <c r="B330" s="27">
        <v>43</v>
      </c>
      <c r="C330" s="27" t="s">
        <v>79</v>
      </c>
      <c r="D330" s="27" t="s">
        <v>912</v>
      </c>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t="s">
        <v>892</v>
      </c>
      <c r="AM330" s="27" t="s">
        <v>893</v>
      </c>
    </row>
    <row r="331" spans="1:39" ht="29" x14ac:dyDescent="0.35">
      <c r="A331" s="34" t="s">
        <v>913</v>
      </c>
      <c r="B331" s="27">
        <v>44</v>
      </c>
      <c r="C331" s="27" t="s">
        <v>6</v>
      </c>
      <c r="D331" s="27" t="s">
        <v>914</v>
      </c>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t="s">
        <v>892</v>
      </c>
      <c r="AM331" s="27" t="s">
        <v>893</v>
      </c>
    </row>
    <row r="332" spans="1:39" x14ac:dyDescent="0.35">
      <c r="A332" s="34" t="s">
        <v>915</v>
      </c>
      <c r="B332" s="27">
        <v>45</v>
      </c>
      <c r="C332" s="27" t="s">
        <v>68</v>
      </c>
      <c r="D332" s="28" t="s">
        <v>916</v>
      </c>
      <c r="E332" s="27" t="str">
        <f>A334</f>
        <v>Ref-076</v>
      </c>
      <c r="F332" s="27"/>
      <c r="G332" s="27"/>
      <c r="H332" s="27" t="str">
        <f>A333</f>
        <v>Cl-055</v>
      </c>
      <c r="I332" s="27" t="s">
        <v>65</v>
      </c>
      <c r="J332" s="27"/>
      <c r="K332" s="27"/>
      <c r="L332" s="27"/>
      <c r="M332" s="27"/>
      <c r="N332" s="27"/>
      <c r="O332" s="27"/>
      <c r="P332" s="27"/>
      <c r="Q332" s="27"/>
      <c r="R332" s="27" t="str">
        <f>A336</f>
        <v>RT-040</v>
      </c>
      <c r="S332" s="27" t="s">
        <v>65</v>
      </c>
      <c r="T332" s="27" t="str">
        <f>A337</f>
        <v>RT-041</v>
      </c>
      <c r="U332" s="27" t="s">
        <v>61</v>
      </c>
      <c r="V332" s="27"/>
      <c r="W332" s="27"/>
      <c r="X332" s="27"/>
      <c r="Y332" s="27"/>
      <c r="Z332" s="27"/>
      <c r="AA332" s="27"/>
      <c r="AB332" s="27" t="str">
        <f>A341</f>
        <v>Comp-050</v>
      </c>
      <c r="AC332" s="27" t="s">
        <v>65</v>
      </c>
      <c r="AD332" s="27"/>
      <c r="AE332" s="27"/>
      <c r="AF332" s="27"/>
      <c r="AG332" s="27"/>
      <c r="AH332" s="27"/>
      <c r="AI332" s="27"/>
      <c r="AJ332" s="27"/>
      <c r="AK332" s="27"/>
      <c r="AL332" s="27" t="s">
        <v>917</v>
      </c>
      <c r="AM332" s="27" t="s">
        <v>918</v>
      </c>
    </row>
    <row r="333" spans="1:39" ht="43.5" x14ac:dyDescent="0.35">
      <c r="A333" s="34" t="s">
        <v>919</v>
      </c>
      <c r="B333" s="27">
        <v>45</v>
      </c>
      <c r="C333" s="27" t="s">
        <v>363</v>
      </c>
      <c r="D333" s="28" t="s">
        <v>920</v>
      </c>
      <c r="E333" s="27" t="str">
        <f>A334</f>
        <v>Ref-076</v>
      </c>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t="s">
        <v>917</v>
      </c>
      <c r="AM333" s="27" t="s">
        <v>918</v>
      </c>
    </row>
    <row r="334" spans="1:39" x14ac:dyDescent="0.35">
      <c r="A334" s="34" t="s">
        <v>921</v>
      </c>
      <c r="B334" s="27">
        <v>46</v>
      </c>
      <c r="C334" s="27" t="s">
        <v>4</v>
      </c>
      <c r="D334" s="27" t="s">
        <v>922</v>
      </c>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t="s">
        <v>917</v>
      </c>
      <c r="AM334" s="27" t="s">
        <v>918</v>
      </c>
    </row>
    <row r="335" spans="1:39" ht="43.5" x14ac:dyDescent="0.35">
      <c r="A335" s="34" t="s">
        <v>923</v>
      </c>
      <c r="B335" s="27">
        <v>45</v>
      </c>
      <c r="C335" s="27" t="s">
        <v>6</v>
      </c>
      <c r="D335" s="28" t="s">
        <v>924</v>
      </c>
      <c r="E335" s="28"/>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t="s">
        <v>917</v>
      </c>
      <c r="AM335" s="27" t="s">
        <v>918</v>
      </c>
    </row>
    <row r="336" spans="1:39" ht="29" x14ac:dyDescent="0.35">
      <c r="A336" s="34" t="s">
        <v>267</v>
      </c>
      <c r="B336" s="27">
        <v>45</v>
      </c>
      <c r="C336" s="27" t="s">
        <v>32</v>
      </c>
      <c r="D336" s="28" t="s">
        <v>925</v>
      </c>
      <c r="E336" s="27" t="str">
        <f>A334</f>
        <v>Ref-076</v>
      </c>
      <c r="F336" s="27"/>
      <c r="G336" s="27" t="str">
        <f>A339</f>
        <v>Gs-037</v>
      </c>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t="s">
        <v>917</v>
      </c>
      <c r="AM336" s="27" t="s">
        <v>918</v>
      </c>
    </row>
    <row r="337" spans="1:39" ht="29" x14ac:dyDescent="0.35">
      <c r="A337" s="34" t="s">
        <v>269</v>
      </c>
      <c r="B337" s="27">
        <v>45</v>
      </c>
      <c r="C337" s="27" t="s">
        <v>32</v>
      </c>
      <c r="D337" s="28" t="s">
        <v>926</v>
      </c>
      <c r="E337" s="27"/>
      <c r="F337" s="27" t="str">
        <f>A338</f>
        <v>Fn-066</v>
      </c>
      <c r="G337" s="27" t="str">
        <f>A340</f>
        <v>Gs-038</v>
      </c>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t="s">
        <v>917</v>
      </c>
      <c r="AM337" s="27" t="s">
        <v>918</v>
      </c>
    </row>
    <row r="338" spans="1:39" ht="43.5" x14ac:dyDescent="0.35">
      <c r="A338" s="34" t="s">
        <v>927</v>
      </c>
      <c r="B338" s="27">
        <v>45</v>
      </c>
      <c r="C338" s="27" t="s">
        <v>79</v>
      </c>
      <c r="D338" s="27" t="s">
        <v>928</v>
      </c>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t="s">
        <v>917</v>
      </c>
      <c r="AM338" s="27" t="s">
        <v>918</v>
      </c>
    </row>
    <row r="339" spans="1:39" x14ac:dyDescent="0.35">
      <c r="A339" s="34" t="s">
        <v>929</v>
      </c>
      <c r="B339" s="27">
        <v>45</v>
      </c>
      <c r="C339" s="27" t="s">
        <v>6</v>
      </c>
      <c r="D339" s="28" t="s">
        <v>888</v>
      </c>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t="s">
        <v>917</v>
      </c>
      <c r="AM339" s="27" t="s">
        <v>918</v>
      </c>
    </row>
    <row r="340" spans="1:39" ht="29" x14ac:dyDescent="0.35">
      <c r="A340" s="34" t="s">
        <v>930</v>
      </c>
      <c r="B340" s="27">
        <v>46</v>
      </c>
      <c r="C340" s="27" t="s">
        <v>6</v>
      </c>
      <c r="D340" s="27" t="s">
        <v>931</v>
      </c>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t="s">
        <v>917</v>
      </c>
      <c r="AM340" s="27" t="s">
        <v>918</v>
      </c>
    </row>
    <row r="341" spans="1:39" ht="29" x14ac:dyDescent="0.35">
      <c r="A341" s="34" t="s">
        <v>932</v>
      </c>
      <c r="B341" s="27">
        <v>45</v>
      </c>
      <c r="C341" s="27" t="s">
        <v>36</v>
      </c>
      <c r="D341" s="27" t="s">
        <v>933</v>
      </c>
      <c r="E341" s="27"/>
      <c r="F341" s="27" t="str">
        <f>A342</f>
        <v>Fn-067</v>
      </c>
      <c r="G341" s="27" t="str">
        <f>A343</f>
        <v>Gs-039</v>
      </c>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t="s">
        <v>917</v>
      </c>
      <c r="AM341" s="27" t="s">
        <v>918</v>
      </c>
    </row>
    <row r="342" spans="1:39" ht="174" x14ac:dyDescent="0.35">
      <c r="A342" s="34" t="s">
        <v>934</v>
      </c>
      <c r="B342" s="27">
        <v>45</v>
      </c>
      <c r="C342" s="27" t="s">
        <v>79</v>
      </c>
      <c r="D342" s="27" t="s">
        <v>935</v>
      </c>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t="s">
        <v>917</v>
      </c>
      <c r="AM342" s="27" t="s">
        <v>918</v>
      </c>
    </row>
    <row r="343" spans="1:39" ht="58" x14ac:dyDescent="0.35">
      <c r="A343" s="34" t="s">
        <v>936</v>
      </c>
      <c r="B343" s="27">
        <v>46</v>
      </c>
      <c r="C343" s="27" t="s">
        <v>6</v>
      </c>
      <c r="D343" s="35" t="s">
        <v>937</v>
      </c>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t="s">
        <v>917</v>
      </c>
      <c r="AM343" s="27" t="s">
        <v>918</v>
      </c>
    </row>
    <row r="344" spans="1:39" x14ac:dyDescent="0.35">
      <c r="A344" s="34" t="s">
        <v>938</v>
      </c>
      <c r="B344" s="27">
        <v>47</v>
      </c>
      <c r="C344" s="27" t="s">
        <v>68</v>
      </c>
      <c r="D344" s="28" t="s">
        <v>939</v>
      </c>
      <c r="E344" s="27" t="str">
        <f>A349</f>
        <v>Ref-077</v>
      </c>
      <c r="F344" s="28" t="s">
        <v>434</v>
      </c>
      <c r="G344" s="27" t="str">
        <f>A351</f>
        <v>Gs-040</v>
      </c>
      <c r="H344" s="27" t="str">
        <f>A345</f>
        <v>Cl-057</v>
      </c>
      <c r="I344" s="27" t="s">
        <v>65</v>
      </c>
      <c r="J344" s="27" t="str">
        <f>A346</f>
        <v>Cl-058</v>
      </c>
      <c r="K344" s="27" t="s">
        <v>65</v>
      </c>
      <c r="L344" s="27" t="str">
        <f>A347</f>
        <v>Cl-059</v>
      </c>
      <c r="M344" s="27" t="s">
        <v>65</v>
      </c>
      <c r="N344" s="27" t="str">
        <f>A348</f>
        <v>Cl-060</v>
      </c>
      <c r="O344" s="27" t="s">
        <v>65</v>
      </c>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t="s">
        <v>940</v>
      </c>
      <c r="AM344" s="27" t="s">
        <v>941</v>
      </c>
    </row>
    <row r="345" spans="1:39" x14ac:dyDescent="0.35">
      <c r="A345" s="34" t="s">
        <v>942</v>
      </c>
      <c r="B345" s="27">
        <v>47</v>
      </c>
      <c r="C345" s="27" t="s">
        <v>363</v>
      </c>
      <c r="D345" s="28" t="s">
        <v>943</v>
      </c>
      <c r="E345" s="34" t="str">
        <f>A349</f>
        <v>Ref-077</v>
      </c>
      <c r="F345" s="28" t="str">
        <f>A350</f>
        <v>Fn-068</v>
      </c>
      <c r="G345" s="28" t="s">
        <v>434</v>
      </c>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t="s">
        <v>940</v>
      </c>
      <c r="AM345" s="27" t="s">
        <v>941</v>
      </c>
    </row>
    <row r="346" spans="1:39" x14ac:dyDescent="0.35">
      <c r="A346" s="34" t="s">
        <v>944</v>
      </c>
      <c r="B346" s="27">
        <v>47</v>
      </c>
      <c r="C346" s="27" t="s">
        <v>363</v>
      </c>
      <c r="D346" s="28" t="s">
        <v>945</v>
      </c>
      <c r="E346" s="34" t="str">
        <f>A349</f>
        <v>Ref-077</v>
      </c>
      <c r="F346" s="28" t="str">
        <f>A350</f>
        <v>Fn-068</v>
      </c>
      <c r="G346" s="28" t="s">
        <v>434</v>
      </c>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t="s">
        <v>940</v>
      </c>
      <c r="AM346" s="27" t="s">
        <v>941</v>
      </c>
    </row>
    <row r="347" spans="1:39" ht="29" x14ac:dyDescent="0.35">
      <c r="A347" s="34" t="s">
        <v>946</v>
      </c>
      <c r="B347" s="27">
        <v>47</v>
      </c>
      <c r="C347" s="27" t="s">
        <v>363</v>
      </c>
      <c r="D347" s="28" t="s">
        <v>947</v>
      </c>
      <c r="E347" s="34" t="str">
        <f>A349</f>
        <v>Ref-077</v>
      </c>
      <c r="F347" s="28" t="str">
        <f>A350</f>
        <v>Fn-068</v>
      </c>
      <c r="G347" s="28" t="s">
        <v>434</v>
      </c>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t="s">
        <v>940</v>
      </c>
      <c r="AM347" s="27" t="s">
        <v>941</v>
      </c>
    </row>
    <row r="348" spans="1:39" ht="29" x14ac:dyDescent="0.35">
      <c r="A348" s="34" t="s">
        <v>948</v>
      </c>
      <c r="B348" s="27">
        <v>47</v>
      </c>
      <c r="C348" s="27" t="s">
        <v>363</v>
      </c>
      <c r="D348" s="28" t="s">
        <v>949</v>
      </c>
      <c r="E348" s="34" t="str">
        <f>A349</f>
        <v>Ref-077</v>
      </c>
      <c r="F348" s="28" t="str">
        <f>A350</f>
        <v>Fn-068</v>
      </c>
      <c r="G348" s="28" t="s">
        <v>434</v>
      </c>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t="s">
        <v>940</v>
      </c>
      <c r="AM348" s="27" t="s">
        <v>941</v>
      </c>
    </row>
    <row r="349" spans="1:39" x14ac:dyDescent="0.35">
      <c r="A349" s="34" t="s">
        <v>950</v>
      </c>
      <c r="B349" s="27">
        <v>48</v>
      </c>
      <c r="C349" s="27" t="s">
        <v>4</v>
      </c>
      <c r="D349" s="34" t="s">
        <v>951</v>
      </c>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t="s">
        <v>940</v>
      </c>
      <c r="AM349" s="27" t="s">
        <v>941</v>
      </c>
    </row>
    <row r="350" spans="1:39" ht="130.5" x14ac:dyDescent="0.35">
      <c r="A350" s="34" t="s">
        <v>952</v>
      </c>
      <c r="B350" s="27">
        <v>47</v>
      </c>
      <c r="C350" s="27" t="s">
        <v>79</v>
      </c>
      <c r="D350" s="28" t="s">
        <v>953</v>
      </c>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t="s">
        <v>940</v>
      </c>
      <c r="AM350" s="27" t="s">
        <v>941</v>
      </c>
    </row>
    <row r="351" spans="1:39" ht="58" x14ac:dyDescent="0.35">
      <c r="A351" s="34" t="s">
        <v>954</v>
      </c>
      <c r="B351" s="27">
        <v>48</v>
      </c>
      <c r="C351" s="27" t="s">
        <v>6</v>
      </c>
      <c r="D351" s="34" t="s">
        <v>955</v>
      </c>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t="s">
        <v>940</v>
      </c>
      <c r="AM351" s="27" t="s">
        <v>941</v>
      </c>
    </row>
    <row r="352" spans="1:39" x14ac:dyDescent="0.35">
      <c r="A352" s="34" t="s">
        <v>271</v>
      </c>
      <c r="B352" s="27">
        <v>47</v>
      </c>
      <c r="C352" s="27" t="s">
        <v>32</v>
      </c>
      <c r="D352" s="28" t="s">
        <v>956</v>
      </c>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t="s">
        <v>940</v>
      </c>
      <c r="AM352" s="27" t="s">
        <v>941</v>
      </c>
    </row>
    <row r="353" spans="1:39" x14ac:dyDescent="0.35">
      <c r="A353" s="34" t="s">
        <v>293</v>
      </c>
      <c r="B353" s="27">
        <v>47</v>
      </c>
      <c r="C353" s="27" t="s">
        <v>32</v>
      </c>
      <c r="D353" s="28" t="s">
        <v>957</v>
      </c>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t="s">
        <v>940</v>
      </c>
      <c r="AM353" s="27" t="s">
        <v>941</v>
      </c>
    </row>
    <row r="354" spans="1:39" x14ac:dyDescent="0.35">
      <c r="A354" s="34" t="s">
        <v>958</v>
      </c>
      <c r="B354" s="27">
        <v>49</v>
      </c>
      <c r="C354" s="27" t="s">
        <v>68</v>
      </c>
      <c r="D354" s="28" t="s">
        <v>959</v>
      </c>
      <c r="E354" s="27" t="str">
        <f>A356</f>
        <v>Ref-078</v>
      </c>
      <c r="F354" s="27"/>
      <c r="G354" s="27"/>
      <c r="H354" s="27" t="str">
        <f>A355</f>
        <v>Cl-062</v>
      </c>
      <c r="I354" s="27" t="s">
        <v>65</v>
      </c>
      <c r="J354" s="27"/>
      <c r="K354" s="27"/>
      <c r="L354" s="27"/>
      <c r="M354" s="27"/>
      <c r="N354" s="27"/>
      <c r="O354" s="27"/>
      <c r="P354" s="27"/>
      <c r="Q354" s="27"/>
      <c r="R354" s="27"/>
      <c r="S354" s="27"/>
      <c r="T354" s="27"/>
      <c r="U354" s="27"/>
      <c r="V354" s="27"/>
      <c r="W354" s="27"/>
      <c r="X354" s="27"/>
      <c r="Y354" s="27"/>
      <c r="Z354" s="27"/>
      <c r="AA354" s="27"/>
      <c r="AB354" s="27" t="str">
        <f>A358</f>
        <v>Comp-051</v>
      </c>
      <c r="AC354" s="27" t="s">
        <v>65</v>
      </c>
      <c r="AD354" s="27"/>
      <c r="AE354" s="27"/>
      <c r="AF354" s="27"/>
      <c r="AG354" s="27"/>
      <c r="AH354" s="27"/>
      <c r="AI354" s="27"/>
      <c r="AJ354" s="27"/>
      <c r="AK354" s="27"/>
      <c r="AL354" s="27" t="s">
        <v>960</v>
      </c>
      <c r="AM354" s="27" t="s">
        <v>961</v>
      </c>
    </row>
    <row r="355" spans="1:39" x14ac:dyDescent="0.35">
      <c r="A355" s="34" t="s">
        <v>962</v>
      </c>
      <c r="B355" s="27">
        <v>49</v>
      </c>
      <c r="C355" s="27" t="s">
        <v>363</v>
      </c>
      <c r="D355" s="28" t="s">
        <v>963</v>
      </c>
      <c r="E355" s="27" t="str">
        <f>A356</f>
        <v>Ref-078</v>
      </c>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t="s">
        <v>960</v>
      </c>
      <c r="AM355" s="27" t="s">
        <v>961</v>
      </c>
    </row>
    <row r="356" spans="1:39" x14ac:dyDescent="0.35">
      <c r="A356" s="34" t="s">
        <v>964</v>
      </c>
      <c r="B356" s="27">
        <v>49</v>
      </c>
      <c r="C356" s="27" t="s">
        <v>4</v>
      </c>
      <c r="D356" s="27" t="s">
        <v>965</v>
      </c>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t="s">
        <v>960</v>
      </c>
      <c r="AM356" s="27" t="s">
        <v>961</v>
      </c>
    </row>
    <row r="357" spans="1:39" x14ac:dyDescent="0.35">
      <c r="A357" s="34" t="s">
        <v>966</v>
      </c>
      <c r="B357" s="27">
        <v>49</v>
      </c>
      <c r="C357" s="27" t="s">
        <v>32</v>
      </c>
      <c r="D357" s="28" t="s">
        <v>967</v>
      </c>
      <c r="E357" s="27" t="str">
        <f>A356</f>
        <v>Ref-078</v>
      </c>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t="s">
        <v>960</v>
      </c>
      <c r="AM357" s="27" t="s">
        <v>961</v>
      </c>
    </row>
    <row r="358" spans="1:39" x14ac:dyDescent="0.35">
      <c r="A358" s="34" t="s">
        <v>968</v>
      </c>
      <c r="B358" s="27">
        <v>49</v>
      </c>
      <c r="C358" s="27" t="s">
        <v>36</v>
      </c>
      <c r="D358" s="27" t="s">
        <v>969</v>
      </c>
      <c r="E358" s="27" t="str">
        <f>A356</f>
        <v>Ref-078</v>
      </c>
      <c r="F358" s="27" t="str">
        <f>A359</f>
        <v>Fn-069</v>
      </c>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t="s">
        <v>960</v>
      </c>
      <c r="AM358" s="27" t="s">
        <v>961</v>
      </c>
    </row>
    <row r="359" spans="1:39" ht="43.5" x14ac:dyDescent="0.35">
      <c r="A359" s="34" t="s">
        <v>970</v>
      </c>
      <c r="B359" s="27">
        <v>49</v>
      </c>
      <c r="C359" s="27" t="s">
        <v>79</v>
      </c>
      <c r="D359" s="27" t="s">
        <v>971</v>
      </c>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t="s">
        <v>960</v>
      </c>
      <c r="AM359" s="27" t="s">
        <v>961</v>
      </c>
    </row>
    <row r="360" spans="1:39" x14ac:dyDescent="0.35">
      <c r="A360" s="34" t="s">
        <v>972</v>
      </c>
      <c r="B360" s="27">
        <v>51</v>
      </c>
      <c r="C360" s="27" t="s">
        <v>68</v>
      </c>
      <c r="D360" s="28" t="s">
        <v>973</v>
      </c>
      <c r="E360" s="35" t="s">
        <v>974</v>
      </c>
      <c r="F360" s="35" t="s">
        <v>975</v>
      </c>
      <c r="G360" s="27"/>
      <c r="H360" s="27" t="str">
        <f>A361</f>
        <v>Cl-064</v>
      </c>
      <c r="I360" s="27" t="s">
        <v>65</v>
      </c>
      <c r="J360" s="27" t="str">
        <f>A362</f>
        <v>Cl-065</v>
      </c>
      <c r="K360" s="27" t="s">
        <v>65</v>
      </c>
      <c r="L360" s="27"/>
      <c r="M360" s="27"/>
      <c r="N360" s="27"/>
      <c r="O360" s="27"/>
      <c r="P360" s="27"/>
      <c r="Q360" s="27"/>
      <c r="R360" s="27" t="str">
        <f>A367</f>
        <v>RT-045</v>
      </c>
      <c r="S360" s="27" t="s">
        <v>61</v>
      </c>
      <c r="T360" s="27"/>
      <c r="U360" s="27"/>
      <c r="V360" s="27"/>
      <c r="W360" s="27"/>
      <c r="X360" s="27"/>
      <c r="Y360" s="27"/>
      <c r="Z360" s="27"/>
      <c r="AA360" s="27"/>
      <c r="AB360" s="27" t="str">
        <f>A368</f>
        <v>Comp-052</v>
      </c>
      <c r="AC360" s="27" t="s">
        <v>65</v>
      </c>
      <c r="AD360" s="27"/>
      <c r="AE360" s="27"/>
      <c r="AF360" s="27"/>
      <c r="AG360" s="27"/>
      <c r="AH360" s="27"/>
      <c r="AI360" s="27"/>
      <c r="AJ360" s="27"/>
      <c r="AK360" s="27"/>
      <c r="AL360" s="27" t="s">
        <v>976</v>
      </c>
      <c r="AM360" s="27" t="s">
        <v>977</v>
      </c>
    </row>
    <row r="361" spans="1:39" x14ac:dyDescent="0.35">
      <c r="A361" s="34" t="s">
        <v>978</v>
      </c>
      <c r="B361" s="27">
        <v>51</v>
      </c>
      <c r="C361" s="27" t="s">
        <v>363</v>
      </c>
      <c r="D361" s="28" t="s">
        <v>979</v>
      </c>
      <c r="E361" s="35" t="s">
        <v>974</v>
      </c>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t="s">
        <v>976</v>
      </c>
      <c r="AM361" s="27" t="s">
        <v>977</v>
      </c>
    </row>
    <row r="362" spans="1:39" x14ac:dyDescent="0.35">
      <c r="A362" s="34" t="s">
        <v>980</v>
      </c>
      <c r="B362" s="27">
        <v>51</v>
      </c>
      <c r="C362" s="27" t="s">
        <v>363</v>
      </c>
      <c r="D362" s="28" t="s">
        <v>981</v>
      </c>
      <c r="E362" s="35" t="s">
        <v>974</v>
      </c>
      <c r="F362" s="35" t="s">
        <v>982</v>
      </c>
      <c r="G362" s="35" t="s">
        <v>983</v>
      </c>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t="s">
        <v>976</v>
      </c>
      <c r="AM362" s="27" t="s">
        <v>977</v>
      </c>
    </row>
    <row r="363" spans="1:39" x14ac:dyDescent="0.35">
      <c r="A363" s="34" t="s">
        <v>974</v>
      </c>
      <c r="B363" s="27">
        <v>51</v>
      </c>
      <c r="C363" s="27" t="s">
        <v>4</v>
      </c>
      <c r="D363" s="27" t="s">
        <v>984</v>
      </c>
      <c r="E363" s="28"/>
      <c r="F363" s="28"/>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t="s">
        <v>976</v>
      </c>
      <c r="AM363" s="27" t="s">
        <v>977</v>
      </c>
    </row>
    <row r="364" spans="1:39" ht="87" x14ac:dyDescent="0.35">
      <c r="A364" s="34" t="s">
        <v>975</v>
      </c>
      <c r="B364" s="27">
        <v>51</v>
      </c>
      <c r="C364" s="27" t="s">
        <v>79</v>
      </c>
      <c r="D364" s="28" t="s">
        <v>985</v>
      </c>
      <c r="E364" s="28"/>
      <c r="F364" s="28"/>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t="s">
        <v>976</v>
      </c>
      <c r="AM364" s="27" t="s">
        <v>977</v>
      </c>
    </row>
    <row r="365" spans="1:39" ht="43.5" x14ac:dyDescent="0.35">
      <c r="A365" s="34" t="s">
        <v>982</v>
      </c>
      <c r="B365" s="27">
        <v>51</v>
      </c>
      <c r="C365" s="27" t="s">
        <v>79</v>
      </c>
      <c r="D365" s="35" t="s">
        <v>986</v>
      </c>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t="s">
        <v>976</v>
      </c>
      <c r="AM365" s="27" t="s">
        <v>977</v>
      </c>
    </row>
    <row r="366" spans="1:39" x14ac:dyDescent="0.35">
      <c r="A366" s="34" t="s">
        <v>983</v>
      </c>
      <c r="B366" s="27">
        <v>51</v>
      </c>
      <c r="C366" s="27" t="s">
        <v>6</v>
      </c>
      <c r="D366" s="35" t="s">
        <v>888</v>
      </c>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t="s">
        <v>976</v>
      </c>
      <c r="AM366" s="27" t="s">
        <v>977</v>
      </c>
    </row>
    <row r="367" spans="1:39" x14ac:dyDescent="0.35">
      <c r="A367" s="34" t="s">
        <v>987</v>
      </c>
      <c r="B367" s="27">
        <v>51</v>
      </c>
      <c r="C367" s="27" t="s">
        <v>32</v>
      </c>
      <c r="D367" s="28" t="s">
        <v>988</v>
      </c>
      <c r="E367" s="35" t="s">
        <v>974</v>
      </c>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t="s">
        <v>976</v>
      </c>
      <c r="AM367" s="27" t="s">
        <v>977</v>
      </c>
    </row>
    <row r="368" spans="1:39" x14ac:dyDescent="0.35">
      <c r="A368" s="34" t="s">
        <v>989</v>
      </c>
      <c r="B368" s="27">
        <v>51</v>
      </c>
      <c r="C368" s="27" t="s">
        <v>36</v>
      </c>
      <c r="D368" s="27" t="s">
        <v>990</v>
      </c>
      <c r="E368" s="27"/>
      <c r="F368" s="35" t="s">
        <v>991</v>
      </c>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t="s">
        <v>976</v>
      </c>
      <c r="AM368" s="27" t="s">
        <v>977</v>
      </c>
    </row>
    <row r="369" spans="1:39" x14ac:dyDescent="0.35">
      <c r="A369" s="34" t="s">
        <v>991</v>
      </c>
      <c r="B369" s="27">
        <v>51</v>
      </c>
      <c r="C369" s="27" t="s">
        <v>79</v>
      </c>
      <c r="D369" s="27" t="s">
        <v>992</v>
      </c>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t="s">
        <v>976</v>
      </c>
      <c r="AM369" s="27" t="s">
        <v>977</v>
      </c>
    </row>
    <row r="370" spans="1:39" ht="29" x14ac:dyDescent="0.35">
      <c r="A370" s="34" t="s">
        <v>993</v>
      </c>
      <c r="B370" s="27">
        <v>53</v>
      </c>
      <c r="C370" s="27" t="s">
        <v>68</v>
      </c>
      <c r="D370" s="28" t="s">
        <v>994</v>
      </c>
      <c r="E370" s="27" t="str">
        <f>A372</f>
        <v>Ref-080</v>
      </c>
      <c r="F370" s="27" t="str">
        <f>A373</f>
        <v>Fn-073</v>
      </c>
      <c r="G370" s="27"/>
      <c r="H370" s="27" t="str">
        <f>A371</f>
        <v>Cl-067</v>
      </c>
      <c r="I370" s="27" t="s">
        <v>65</v>
      </c>
      <c r="J370" s="27"/>
      <c r="K370" s="27"/>
      <c r="L370" s="27"/>
      <c r="M370" s="27"/>
      <c r="N370" s="27"/>
      <c r="O370" s="27"/>
      <c r="P370" s="27"/>
      <c r="Q370" s="27"/>
      <c r="R370" s="27" t="str">
        <f>A374</f>
        <v>RT-046</v>
      </c>
      <c r="S370" s="27" t="s">
        <v>61</v>
      </c>
      <c r="T370" s="27" t="str">
        <f>A375</f>
        <v>RT-047</v>
      </c>
      <c r="U370" s="27" t="s">
        <v>61</v>
      </c>
      <c r="V370" s="27"/>
      <c r="W370" s="27"/>
      <c r="X370" s="27"/>
      <c r="Y370" s="27"/>
      <c r="Z370" s="27"/>
      <c r="AA370" s="27"/>
      <c r="AB370" s="27" t="str">
        <f>A379</f>
        <v>Comp-053</v>
      </c>
      <c r="AC370" s="27" t="s">
        <v>65</v>
      </c>
      <c r="AD370" s="27" t="str">
        <f>A380</f>
        <v>Comp-054</v>
      </c>
      <c r="AE370" s="27" t="s">
        <v>65</v>
      </c>
      <c r="AF370" s="27"/>
      <c r="AG370" s="27"/>
      <c r="AH370" s="27"/>
      <c r="AI370" s="27"/>
      <c r="AJ370" s="27"/>
      <c r="AK370" s="27"/>
      <c r="AL370" s="27" t="s">
        <v>995</v>
      </c>
      <c r="AM370" s="27" t="s">
        <v>996</v>
      </c>
    </row>
    <row r="371" spans="1:39" ht="29" x14ac:dyDescent="0.35">
      <c r="A371" s="34" t="s">
        <v>997</v>
      </c>
      <c r="B371" s="27">
        <v>53</v>
      </c>
      <c r="C371" s="27" t="s">
        <v>363</v>
      </c>
      <c r="D371" s="28" t="s">
        <v>998</v>
      </c>
      <c r="E371" s="27" t="str">
        <f>A372</f>
        <v>Ref-080</v>
      </c>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t="s">
        <v>995</v>
      </c>
      <c r="AM371" s="27" t="s">
        <v>996</v>
      </c>
    </row>
    <row r="372" spans="1:39" ht="29" x14ac:dyDescent="0.35">
      <c r="A372" s="34" t="s">
        <v>999</v>
      </c>
      <c r="B372" s="27">
        <v>53</v>
      </c>
      <c r="C372" s="27" t="s">
        <v>4</v>
      </c>
      <c r="D372" s="27" t="s">
        <v>509</v>
      </c>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t="s">
        <v>995</v>
      </c>
      <c r="AM372" s="27" t="s">
        <v>996</v>
      </c>
    </row>
    <row r="373" spans="1:39" ht="43.5" x14ac:dyDescent="0.35">
      <c r="A373" s="34" t="s">
        <v>1000</v>
      </c>
      <c r="B373" s="27">
        <v>53</v>
      </c>
      <c r="C373" s="27" t="s">
        <v>79</v>
      </c>
      <c r="D373" s="28" t="s">
        <v>1001</v>
      </c>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t="s">
        <v>995</v>
      </c>
      <c r="AM373" s="27" t="s">
        <v>996</v>
      </c>
    </row>
    <row r="374" spans="1:39" ht="29" x14ac:dyDescent="0.35">
      <c r="A374" s="34" t="s">
        <v>1002</v>
      </c>
      <c r="B374" s="27">
        <v>53</v>
      </c>
      <c r="C374" s="27" t="s">
        <v>32</v>
      </c>
      <c r="D374" s="28" t="s">
        <v>1003</v>
      </c>
      <c r="E374" s="27" t="str">
        <f>A372</f>
        <v>Ref-080</v>
      </c>
      <c r="F374" s="27" t="str">
        <f>A376</f>
        <v>Fn-074</v>
      </c>
      <c r="G374" s="27" t="str">
        <f>A378</f>
        <v>Gs-042</v>
      </c>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t="s">
        <v>995</v>
      </c>
      <c r="AM374" s="27" t="s">
        <v>996</v>
      </c>
    </row>
    <row r="375" spans="1:39" ht="29" x14ac:dyDescent="0.35">
      <c r="A375" s="34" t="s">
        <v>1004</v>
      </c>
      <c r="B375" s="27">
        <v>53</v>
      </c>
      <c r="C375" s="27" t="s">
        <v>32</v>
      </c>
      <c r="D375" s="28" t="s">
        <v>1005</v>
      </c>
      <c r="E375" s="27" t="str">
        <f>A372</f>
        <v>Ref-080</v>
      </c>
      <c r="F375" s="27" t="str">
        <f>A377</f>
        <v>Fn-075</v>
      </c>
      <c r="G375" s="27" t="str">
        <f>A378</f>
        <v>Gs-042</v>
      </c>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t="s">
        <v>995</v>
      </c>
      <c r="AM375" s="27" t="s">
        <v>996</v>
      </c>
    </row>
    <row r="376" spans="1:39" ht="29" x14ac:dyDescent="0.35">
      <c r="A376" s="34" t="s">
        <v>1006</v>
      </c>
      <c r="B376" s="27">
        <v>53</v>
      </c>
      <c r="C376" s="27" t="s">
        <v>79</v>
      </c>
      <c r="D376" s="28" t="s">
        <v>1007</v>
      </c>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t="s">
        <v>995</v>
      </c>
      <c r="AM376" s="27" t="s">
        <v>996</v>
      </c>
    </row>
    <row r="377" spans="1:39" ht="29" x14ac:dyDescent="0.35">
      <c r="A377" s="34" t="s">
        <v>1008</v>
      </c>
      <c r="B377" s="27">
        <v>53</v>
      </c>
      <c r="C377" s="27" t="s">
        <v>79</v>
      </c>
      <c r="D377" s="37" t="s">
        <v>1009</v>
      </c>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t="s">
        <v>995</v>
      </c>
      <c r="AM377" s="27" t="s">
        <v>996</v>
      </c>
    </row>
    <row r="378" spans="1:39" ht="29" x14ac:dyDescent="0.35">
      <c r="A378" s="34" t="s">
        <v>1010</v>
      </c>
      <c r="B378" s="27">
        <v>53</v>
      </c>
      <c r="C378" s="27" t="s">
        <v>6</v>
      </c>
      <c r="D378" s="35" t="s">
        <v>1011</v>
      </c>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t="s">
        <v>995</v>
      </c>
      <c r="AM378" s="27" t="s">
        <v>996</v>
      </c>
    </row>
    <row r="379" spans="1:39" ht="29" x14ac:dyDescent="0.35">
      <c r="A379" s="34" t="s">
        <v>1012</v>
      </c>
      <c r="B379" s="27">
        <v>53</v>
      </c>
      <c r="C379" s="27" t="s">
        <v>36</v>
      </c>
      <c r="D379" s="28" t="s">
        <v>1013</v>
      </c>
      <c r="E379" s="27" t="str">
        <f>A372</f>
        <v>Ref-080</v>
      </c>
      <c r="F379" s="27" t="str">
        <f>A381</f>
        <v>Fn-076</v>
      </c>
      <c r="G379" s="27" t="str">
        <f>A378</f>
        <v>Gs-042</v>
      </c>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t="s">
        <v>995</v>
      </c>
      <c r="AM379" s="27" t="s">
        <v>996</v>
      </c>
    </row>
    <row r="380" spans="1:39" ht="29" x14ac:dyDescent="0.35">
      <c r="A380" s="34" t="s">
        <v>1014</v>
      </c>
      <c r="B380" s="27">
        <v>53</v>
      </c>
      <c r="C380" s="27" t="s">
        <v>36</v>
      </c>
      <c r="D380" s="28" t="s">
        <v>1015</v>
      </c>
      <c r="E380" s="27" t="str">
        <f>A372</f>
        <v>Ref-080</v>
      </c>
      <c r="F380" s="27" t="str">
        <f>A381</f>
        <v>Fn-076</v>
      </c>
      <c r="G380" s="27" t="str">
        <f>A378</f>
        <v>Gs-042</v>
      </c>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t="s">
        <v>995</v>
      </c>
      <c r="AM380" s="27" t="s">
        <v>996</v>
      </c>
    </row>
    <row r="381" spans="1:39" ht="29" x14ac:dyDescent="0.35">
      <c r="A381" s="34" t="s">
        <v>1016</v>
      </c>
      <c r="B381" s="27">
        <v>53</v>
      </c>
      <c r="C381" s="27" t="s">
        <v>79</v>
      </c>
      <c r="D381" s="27" t="s">
        <v>1017</v>
      </c>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t="s">
        <v>995</v>
      </c>
      <c r="AM381" s="27" t="s">
        <v>996</v>
      </c>
    </row>
    <row r="382" spans="1:39" x14ac:dyDescent="0.35">
      <c r="A382" s="34" t="s">
        <v>1018</v>
      </c>
      <c r="B382" s="27">
        <v>55</v>
      </c>
      <c r="C382" s="27" t="s">
        <v>68</v>
      </c>
      <c r="D382" s="28" t="s">
        <v>1019</v>
      </c>
      <c r="E382" s="27" t="str">
        <f>A385</f>
        <v>Ref-081</v>
      </c>
      <c r="F382" s="27" t="str">
        <f>A386</f>
        <v>Fn-077</v>
      </c>
      <c r="G382" s="27" t="str">
        <f>A388</f>
        <v>Gs-043</v>
      </c>
      <c r="H382" s="27" t="str">
        <f>A383</f>
        <v>Cl-069</v>
      </c>
      <c r="I382" s="27" t="s">
        <v>65</v>
      </c>
      <c r="J382" s="27" t="str">
        <f>A384</f>
        <v>Cl-070</v>
      </c>
      <c r="K382" s="27" t="s">
        <v>65</v>
      </c>
      <c r="L382" s="27"/>
      <c r="M382" s="27"/>
      <c r="N382" s="27"/>
      <c r="O382" s="27"/>
      <c r="P382" s="27"/>
      <c r="Q382" s="27"/>
      <c r="R382" s="27"/>
      <c r="S382" s="27"/>
      <c r="T382" s="27"/>
      <c r="U382" s="27"/>
      <c r="V382" s="27"/>
      <c r="W382" s="27"/>
      <c r="X382" s="27"/>
      <c r="Y382" s="27"/>
      <c r="Z382" s="27"/>
      <c r="AA382" s="27"/>
      <c r="AB382" s="27" t="str">
        <f>A389</f>
        <v>Comp-055</v>
      </c>
      <c r="AC382" s="27" t="s">
        <v>61</v>
      </c>
      <c r="AD382" s="27"/>
      <c r="AE382" s="27"/>
      <c r="AF382" s="27"/>
      <c r="AG382" s="27"/>
      <c r="AH382" s="27"/>
      <c r="AI382" s="27"/>
      <c r="AJ382" s="27"/>
      <c r="AK382" s="27"/>
      <c r="AL382" s="27" t="s">
        <v>1020</v>
      </c>
      <c r="AM382" s="27" t="s">
        <v>1021</v>
      </c>
    </row>
    <row r="383" spans="1:39" x14ac:dyDescent="0.35">
      <c r="A383" s="34" t="s">
        <v>1022</v>
      </c>
      <c r="B383" s="27">
        <v>55</v>
      </c>
      <c r="C383" s="27" t="s">
        <v>363</v>
      </c>
      <c r="D383" s="28" t="s">
        <v>1023</v>
      </c>
      <c r="E383" s="27" t="str">
        <f>A385</f>
        <v>Ref-081</v>
      </c>
      <c r="F383" s="27" t="str">
        <f>A386</f>
        <v>Fn-077</v>
      </c>
      <c r="G383" s="27" t="str">
        <f>A388</f>
        <v>Gs-043</v>
      </c>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t="s">
        <v>1020</v>
      </c>
      <c r="AM383" s="27" t="s">
        <v>1021</v>
      </c>
    </row>
    <row r="384" spans="1:39" x14ac:dyDescent="0.35">
      <c r="A384" s="34" t="s">
        <v>1024</v>
      </c>
      <c r="B384" s="27">
        <v>55</v>
      </c>
      <c r="C384" s="27" t="s">
        <v>363</v>
      </c>
      <c r="D384" s="28" t="s">
        <v>1025</v>
      </c>
      <c r="E384" s="27" t="str">
        <f>A385</f>
        <v>Ref-081</v>
      </c>
      <c r="F384" s="27" t="str">
        <f>A386&amp; " "&amp;A387</f>
        <v>Fn-077 Fn-078</v>
      </c>
      <c r="G384" s="27" t="str">
        <f>A388</f>
        <v>Gs-043</v>
      </c>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t="s">
        <v>1020</v>
      </c>
      <c r="AM384" s="27" t="s">
        <v>1021</v>
      </c>
    </row>
    <row r="385" spans="1:39" x14ac:dyDescent="0.35">
      <c r="A385" s="34" t="s">
        <v>1026</v>
      </c>
      <c r="B385" s="27">
        <v>55</v>
      </c>
      <c r="C385" s="27" t="s">
        <v>4</v>
      </c>
      <c r="D385" s="27" t="s">
        <v>384</v>
      </c>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t="s">
        <v>1020</v>
      </c>
      <c r="AM385" s="27" t="s">
        <v>1021</v>
      </c>
    </row>
    <row r="386" spans="1:39" ht="43.5" x14ac:dyDescent="0.35">
      <c r="A386" s="34" t="s">
        <v>1027</v>
      </c>
      <c r="B386" s="27">
        <v>55</v>
      </c>
      <c r="C386" s="27" t="s">
        <v>79</v>
      </c>
      <c r="D386" s="28" t="s">
        <v>1028</v>
      </c>
      <c r="E386" s="27"/>
      <c r="F386" s="35"/>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t="s">
        <v>1020</v>
      </c>
      <c r="AM386" s="27" t="s">
        <v>1021</v>
      </c>
    </row>
    <row r="387" spans="1:39" ht="29" x14ac:dyDescent="0.35">
      <c r="A387" s="34" t="s">
        <v>1029</v>
      </c>
      <c r="B387" s="27">
        <v>55</v>
      </c>
      <c r="C387" s="27" t="s">
        <v>79</v>
      </c>
      <c r="D387" s="35" t="s">
        <v>1030</v>
      </c>
      <c r="E387" s="27"/>
      <c r="F387" s="35"/>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t="s">
        <v>1020</v>
      </c>
      <c r="AM387" s="27" t="s">
        <v>1021</v>
      </c>
    </row>
    <row r="388" spans="1:39" x14ac:dyDescent="0.35">
      <c r="A388" s="34" t="s">
        <v>1031</v>
      </c>
      <c r="B388" s="27">
        <v>55</v>
      </c>
      <c r="C388" s="27" t="s">
        <v>6</v>
      </c>
      <c r="D388" s="35" t="s">
        <v>325</v>
      </c>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t="s">
        <v>1020</v>
      </c>
      <c r="AM388" s="27" t="s">
        <v>1021</v>
      </c>
    </row>
    <row r="389" spans="1:39" x14ac:dyDescent="0.35">
      <c r="A389" s="34" t="s">
        <v>1032</v>
      </c>
      <c r="B389" s="27">
        <v>55</v>
      </c>
      <c r="C389" s="27" t="s">
        <v>36</v>
      </c>
      <c r="D389" s="27" t="s">
        <v>1033</v>
      </c>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t="s">
        <v>1020</v>
      </c>
      <c r="AM389" s="27" t="s">
        <v>1021</v>
      </c>
    </row>
    <row r="390" spans="1:39" x14ac:dyDescent="0.35">
      <c r="A390" s="34" t="s">
        <v>1034</v>
      </c>
      <c r="B390" s="27">
        <v>57</v>
      </c>
      <c r="C390" s="27" t="s">
        <v>32</v>
      </c>
      <c r="D390" s="27" t="s">
        <v>1035</v>
      </c>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t="s">
        <v>1020</v>
      </c>
      <c r="AM390" s="27" t="s">
        <v>1021</v>
      </c>
    </row>
    <row r="391" spans="1:39" ht="29" x14ac:dyDescent="0.35">
      <c r="A391" s="34" t="s">
        <v>1036</v>
      </c>
      <c r="B391" s="27">
        <v>57</v>
      </c>
      <c r="C391" s="27" t="s">
        <v>32</v>
      </c>
      <c r="D391" s="28" t="s">
        <v>1037</v>
      </c>
      <c r="E391" s="27"/>
      <c r="F391" s="27" t="str">
        <f>A395</f>
        <v>Fn-079</v>
      </c>
      <c r="G391" s="27" t="str">
        <f>A396</f>
        <v>Gs-044</v>
      </c>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t="s">
        <v>1020</v>
      </c>
      <c r="AM391" s="27" t="s">
        <v>1021</v>
      </c>
    </row>
    <row r="392" spans="1:39" ht="116" x14ac:dyDescent="0.35">
      <c r="A392" s="34" t="s">
        <v>1038</v>
      </c>
      <c r="B392" s="27">
        <v>57</v>
      </c>
      <c r="C392" s="27" t="s">
        <v>32</v>
      </c>
      <c r="D392" s="28" t="s">
        <v>1039</v>
      </c>
      <c r="E392" s="27"/>
      <c r="F392" s="27"/>
      <c r="G392" s="27" t="str">
        <f>A397</f>
        <v>Gs-045</v>
      </c>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t="s">
        <v>1020</v>
      </c>
      <c r="AM392" s="27" t="s">
        <v>1021</v>
      </c>
    </row>
    <row r="393" spans="1:39" ht="58" x14ac:dyDescent="0.35">
      <c r="A393" s="34" t="s">
        <v>1040</v>
      </c>
      <c r="B393" s="27">
        <v>57</v>
      </c>
      <c r="C393" s="27" t="s">
        <v>32</v>
      </c>
      <c r="D393" s="28" t="s">
        <v>1041</v>
      </c>
      <c r="E393" s="27"/>
      <c r="F393" s="27"/>
      <c r="G393" s="27" t="str">
        <f>A398</f>
        <v>Gs-046</v>
      </c>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t="s">
        <v>1020</v>
      </c>
      <c r="AM393" s="27" t="s">
        <v>1021</v>
      </c>
    </row>
    <row r="394" spans="1:39" ht="87" x14ac:dyDescent="0.35">
      <c r="A394" s="34" t="s">
        <v>1042</v>
      </c>
      <c r="B394" s="27">
        <v>57</v>
      </c>
      <c r="C394" s="27" t="s">
        <v>32</v>
      </c>
      <c r="D394" s="28" t="s">
        <v>1043</v>
      </c>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t="s">
        <v>1020</v>
      </c>
      <c r="AM394" s="27" t="s">
        <v>1021</v>
      </c>
    </row>
    <row r="395" spans="1:39" ht="43.5" x14ac:dyDescent="0.35">
      <c r="A395" s="34" t="s">
        <v>1044</v>
      </c>
      <c r="B395" s="27">
        <v>57</v>
      </c>
      <c r="C395" s="27" t="s">
        <v>79</v>
      </c>
      <c r="D395" s="27" t="s">
        <v>1045</v>
      </c>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t="s">
        <v>1020</v>
      </c>
      <c r="AM395" s="27" t="s">
        <v>1021</v>
      </c>
    </row>
    <row r="396" spans="1:39" ht="43.5" x14ac:dyDescent="0.35">
      <c r="A396" s="34" t="s">
        <v>1046</v>
      </c>
      <c r="B396" s="27">
        <v>57</v>
      </c>
      <c r="C396" s="27" t="s">
        <v>6</v>
      </c>
      <c r="D396" s="27" t="s">
        <v>1047</v>
      </c>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t="s">
        <v>1020</v>
      </c>
      <c r="AM396" s="27" t="s">
        <v>1021</v>
      </c>
    </row>
    <row r="397" spans="1:39" ht="43.5" x14ac:dyDescent="0.35">
      <c r="A397" s="34" t="s">
        <v>1048</v>
      </c>
      <c r="B397" s="27">
        <v>57</v>
      </c>
      <c r="C397" s="27" t="s">
        <v>6</v>
      </c>
      <c r="D397" s="27" t="s">
        <v>1049</v>
      </c>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t="s">
        <v>1020</v>
      </c>
      <c r="AM397" s="27" t="s">
        <v>1021</v>
      </c>
    </row>
    <row r="398" spans="1:39" x14ac:dyDescent="0.35">
      <c r="A398" s="34" t="s">
        <v>1050</v>
      </c>
      <c r="B398" s="27">
        <v>57</v>
      </c>
      <c r="C398" s="27" t="s">
        <v>6</v>
      </c>
      <c r="D398" s="27" t="s">
        <v>1051</v>
      </c>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t="s">
        <v>1020</v>
      </c>
      <c r="AM398" s="27" t="s">
        <v>1021</v>
      </c>
    </row>
    <row r="399" spans="1:39" x14ac:dyDescent="0.35">
      <c r="A399" s="34" t="s">
        <v>1052</v>
      </c>
      <c r="B399" s="28">
        <v>59</v>
      </c>
      <c r="C399" s="27" t="s">
        <v>68</v>
      </c>
      <c r="D399" s="28" t="s">
        <v>1053</v>
      </c>
      <c r="E399" s="27" t="str">
        <f>A402</f>
        <v>Ref-082</v>
      </c>
      <c r="F399" s="27" t="str">
        <f>A403</f>
        <v>Fn-080</v>
      </c>
      <c r="G399" s="27" t="str">
        <f>A404</f>
        <v>Gs-047</v>
      </c>
      <c r="H399" s="27" t="str">
        <f>A400</f>
        <v>Cl-072</v>
      </c>
      <c r="I399" s="27" t="s">
        <v>65</v>
      </c>
      <c r="J399" s="27" t="str">
        <f>A401</f>
        <v>Cl-073</v>
      </c>
      <c r="K399" s="27" t="s">
        <v>65</v>
      </c>
      <c r="L399" s="27"/>
      <c r="M399" s="27"/>
      <c r="N399" s="27"/>
      <c r="O399" s="27"/>
      <c r="P399" s="27"/>
      <c r="Q399" s="27"/>
      <c r="R399" s="27"/>
      <c r="S399" s="27"/>
      <c r="T399" s="27"/>
      <c r="U399" s="27"/>
      <c r="V399" s="27"/>
      <c r="W399" s="27"/>
      <c r="X399" s="27"/>
      <c r="Y399" s="27"/>
      <c r="Z399" s="27"/>
      <c r="AA399" s="27"/>
      <c r="AB399" s="27" t="str">
        <f>A408</f>
        <v>Comp-056</v>
      </c>
      <c r="AC399" s="27" t="s">
        <v>61</v>
      </c>
      <c r="AD399" s="27" t="str">
        <f>A409</f>
        <v>Comp-057</v>
      </c>
      <c r="AE399" s="27" t="s">
        <v>61</v>
      </c>
      <c r="AF399" s="27"/>
      <c r="AG399" s="27"/>
      <c r="AH399" s="27"/>
      <c r="AI399" s="27"/>
      <c r="AJ399" s="27"/>
      <c r="AK399" s="27"/>
      <c r="AL399" s="27" t="s">
        <v>1054</v>
      </c>
      <c r="AM399" s="27" t="s">
        <v>1055</v>
      </c>
    </row>
    <row r="400" spans="1:39" ht="232" x14ac:dyDescent="0.35">
      <c r="A400" s="34" t="s">
        <v>1056</v>
      </c>
      <c r="B400" s="28">
        <v>59</v>
      </c>
      <c r="C400" s="27" t="s">
        <v>363</v>
      </c>
      <c r="D400" s="28" t="s">
        <v>1057</v>
      </c>
      <c r="E400" s="27" t="str">
        <f>A402</f>
        <v>Ref-082</v>
      </c>
      <c r="F400" s="27"/>
      <c r="G400" s="27" t="str">
        <f>A405</f>
        <v>Gs-048</v>
      </c>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t="s">
        <v>1054</v>
      </c>
      <c r="AM400" s="27" t="s">
        <v>1055</v>
      </c>
    </row>
    <row r="401" spans="1:39" ht="29" x14ac:dyDescent="0.35">
      <c r="A401" s="34" t="s">
        <v>1058</v>
      </c>
      <c r="B401" s="28">
        <v>59</v>
      </c>
      <c r="C401" s="27" t="s">
        <v>363</v>
      </c>
      <c r="D401" s="28" t="s">
        <v>1059</v>
      </c>
      <c r="E401" s="27" t="str">
        <f>A407</f>
        <v>Ref-083</v>
      </c>
      <c r="F401" s="27"/>
      <c r="G401" s="27" t="str">
        <f>A406</f>
        <v>Gs-049</v>
      </c>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t="s">
        <v>1054</v>
      </c>
      <c r="AM401" s="27" t="s">
        <v>1055</v>
      </c>
    </row>
    <row r="402" spans="1:39" ht="29" x14ac:dyDescent="0.35">
      <c r="A402" s="34" t="s">
        <v>1060</v>
      </c>
      <c r="B402" s="28">
        <v>59</v>
      </c>
      <c r="C402" s="27" t="s">
        <v>4</v>
      </c>
      <c r="D402" s="27" t="s">
        <v>1061</v>
      </c>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t="s">
        <v>1054</v>
      </c>
      <c r="AM402" s="27" t="s">
        <v>1055</v>
      </c>
    </row>
    <row r="403" spans="1:39" ht="43.5" x14ac:dyDescent="0.35">
      <c r="A403" s="34" t="s">
        <v>1062</v>
      </c>
      <c r="B403" s="28">
        <v>59</v>
      </c>
      <c r="C403" s="27" t="s">
        <v>79</v>
      </c>
      <c r="D403" s="28" t="s">
        <v>1063</v>
      </c>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t="s">
        <v>1054</v>
      </c>
      <c r="AM403" s="27" t="s">
        <v>1055</v>
      </c>
    </row>
    <row r="404" spans="1:39" x14ac:dyDescent="0.35">
      <c r="A404" s="34" t="s">
        <v>1064</v>
      </c>
      <c r="B404" s="28">
        <v>59</v>
      </c>
      <c r="C404" s="27" t="s">
        <v>6</v>
      </c>
      <c r="D404" s="35" t="s">
        <v>1065</v>
      </c>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t="s">
        <v>1054</v>
      </c>
      <c r="AM404" s="27" t="s">
        <v>1055</v>
      </c>
    </row>
    <row r="405" spans="1:39" ht="58" x14ac:dyDescent="0.35">
      <c r="A405" s="34" t="s">
        <v>1066</v>
      </c>
      <c r="B405" s="28">
        <v>59</v>
      </c>
      <c r="C405" s="27" t="s">
        <v>6</v>
      </c>
      <c r="D405" s="27" t="s">
        <v>1067</v>
      </c>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t="s">
        <v>1054</v>
      </c>
      <c r="AM405" s="27" t="s">
        <v>1055</v>
      </c>
    </row>
    <row r="406" spans="1:39" ht="29" x14ac:dyDescent="0.35">
      <c r="A406" s="34" t="s">
        <v>1068</v>
      </c>
      <c r="B406" s="28">
        <v>59</v>
      </c>
      <c r="C406" s="27" t="s">
        <v>6</v>
      </c>
      <c r="D406" s="28" t="s">
        <v>1069</v>
      </c>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t="s">
        <v>1054</v>
      </c>
      <c r="AM406" s="27" t="s">
        <v>1055</v>
      </c>
    </row>
    <row r="407" spans="1:39" x14ac:dyDescent="0.35">
      <c r="A407" s="34" t="s">
        <v>1070</v>
      </c>
      <c r="B407" s="27">
        <v>59</v>
      </c>
      <c r="C407" s="27" t="s">
        <v>4</v>
      </c>
      <c r="D407" s="27" t="s">
        <v>1071</v>
      </c>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t="s">
        <v>1054</v>
      </c>
      <c r="AM407" s="27" t="s">
        <v>1055</v>
      </c>
    </row>
    <row r="408" spans="1:39" x14ac:dyDescent="0.35">
      <c r="A408" s="34" t="s">
        <v>1072</v>
      </c>
      <c r="B408" s="28">
        <v>59</v>
      </c>
      <c r="C408" s="27" t="s">
        <v>36</v>
      </c>
      <c r="D408" s="28" t="s">
        <v>1073</v>
      </c>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t="s">
        <v>1054</v>
      </c>
      <c r="AM408" s="27" t="s">
        <v>1055</v>
      </c>
    </row>
    <row r="409" spans="1:39" x14ac:dyDescent="0.35">
      <c r="A409" s="34" t="s">
        <v>1074</v>
      </c>
      <c r="B409" s="28">
        <v>59</v>
      </c>
      <c r="C409" s="27" t="s">
        <v>36</v>
      </c>
      <c r="D409" s="28" t="s">
        <v>1075</v>
      </c>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t="s">
        <v>1054</v>
      </c>
      <c r="AM409" s="27" t="s">
        <v>1055</v>
      </c>
    </row>
    <row r="410" spans="1:39" x14ac:dyDescent="0.35">
      <c r="A410" s="34" t="s">
        <v>1076</v>
      </c>
      <c r="B410" s="27">
        <v>61</v>
      </c>
      <c r="C410" s="27" t="s">
        <v>32</v>
      </c>
      <c r="D410" s="28" t="s">
        <v>1077</v>
      </c>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t="str">
        <f>A411</f>
        <v>Comp-058</v>
      </c>
      <c r="AC410" s="27" t="s">
        <v>61</v>
      </c>
      <c r="AD410" s="27"/>
      <c r="AE410" s="27"/>
      <c r="AF410" s="27"/>
      <c r="AG410" s="27"/>
      <c r="AH410" s="27"/>
      <c r="AI410" s="27"/>
      <c r="AJ410" s="27"/>
      <c r="AK410" s="27"/>
      <c r="AL410" s="27" t="s">
        <v>1054</v>
      </c>
      <c r="AM410" s="27" t="s">
        <v>1055</v>
      </c>
    </row>
    <row r="411" spans="1:39" ht="29" x14ac:dyDescent="0.35">
      <c r="A411" s="34" t="s">
        <v>1078</v>
      </c>
      <c r="B411" s="27">
        <v>61</v>
      </c>
      <c r="C411" s="28" t="s">
        <v>36</v>
      </c>
      <c r="D411" s="27" t="s">
        <v>1079</v>
      </c>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t="s">
        <v>1054</v>
      </c>
      <c r="AM411" s="27" t="s">
        <v>1055</v>
      </c>
    </row>
    <row r="412" spans="1:39" x14ac:dyDescent="0.35">
      <c r="A412" s="34" t="s">
        <v>1080</v>
      </c>
      <c r="B412" s="27">
        <v>62</v>
      </c>
      <c r="C412" s="27" t="s">
        <v>32</v>
      </c>
      <c r="D412" s="28" t="s">
        <v>1081</v>
      </c>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t="s">
        <v>1054</v>
      </c>
      <c r="AM412" s="27" t="s">
        <v>1055</v>
      </c>
    </row>
    <row r="413" spans="1:39" x14ac:dyDescent="0.35">
      <c r="A413" s="34" t="s">
        <v>1082</v>
      </c>
      <c r="B413" s="28">
        <v>63</v>
      </c>
      <c r="C413" s="27" t="s">
        <v>68</v>
      </c>
      <c r="D413" s="28" t="s">
        <v>1083</v>
      </c>
      <c r="E413" s="27" t="str">
        <f t="shared" ref="E413:E418" si="3">A419</f>
        <v>Ref-084</v>
      </c>
      <c r="F413" s="27"/>
      <c r="G413" s="27" t="str">
        <f>A425</f>
        <v>Gs-050</v>
      </c>
      <c r="H413" s="27" t="str">
        <f>A414</f>
        <v>Cl-075</v>
      </c>
      <c r="I413" s="27" t="s">
        <v>65</v>
      </c>
      <c r="J413" s="27" t="str">
        <f>A415</f>
        <v>Cl-076</v>
      </c>
      <c r="K413" s="27" t="s">
        <v>65</v>
      </c>
      <c r="L413" s="27" t="str">
        <f>A416</f>
        <v>Cl-077</v>
      </c>
      <c r="M413" s="27" t="s">
        <v>65</v>
      </c>
      <c r="N413" s="27" t="str">
        <f>A417</f>
        <v>Cl-078</v>
      </c>
      <c r="O413" s="27" t="s">
        <v>65</v>
      </c>
      <c r="P413" s="27" t="str">
        <f>A418</f>
        <v>Cl-079</v>
      </c>
      <c r="Q413" s="27" t="s">
        <v>65</v>
      </c>
      <c r="R413" s="27" t="str">
        <f>A430</f>
        <v>RT-055</v>
      </c>
      <c r="S413" s="27" t="s">
        <v>61</v>
      </c>
      <c r="T413" s="27"/>
      <c r="U413" s="27"/>
      <c r="V413" s="27"/>
      <c r="W413" s="27"/>
      <c r="X413" s="27"/>
      <c r="Y413" s="27"/>
      <c r="Z413" s="27"/>
      <c r="AA413" s="27"/>
      <c r="AB413" s="27" t="str">
        <f>A431</f>
        <v>Comp-059</v>
      </c>
      <c r="AC413" s="27" t="s">
        <v>61</v>
      </c>
      <c r="AD413" s="27" t="str">
        <f>A432</f>
        <v>Comp-060</v>
      </c>
      <c r="AE413" s="27" t="s">
        <v>61</v>
      </c>
      <c r="AF413" s="27" t="str">
        <f>A433</f>
        <v>Comp-061</v>
      </c>
      <c r="AG413" s="27" t="s">
        <v>61</v>
      </c>
      <c r="AH413" s="27" t="str">
        <f>A434</f>
        <v>Comp-062</v>
      </c>
      <c r="AI413" s="27" t="s">
        <v>61</v>
      </c>
      <c r="AJ413" s="27" t="str">
        <f>A435</f>
        <v>Comp-063</v>
      </c>
      <c r="AK413" s="27" t="s">
        <v>61</v>
      </c>
      <c r="AL413" s="27" t="s">
        <v>1084</v>
      </c>
      <c r="AM413" s="27" t="s">
        <v>1085</v>
      </c>
    </row>
    <row r="414" spans="1:39" ht="29" x14ac:dyDescent="0.35">
      <c r="A414" s="34" t="s">
        <v>1086</v>
      </c>
      <c r="B414" s="28">
        <v>63</v>
      </c>
      <c r="C414" s="27" t="s">
        <v>363</v>
      </c>
      <c r="D414" s="28" t="s">
        <v>1087</v>
      </c>
      <c r="E414" s="27" t="str">
        <f t="shared" si="3"/>
        <v>Ref-085</v>
      </c>
      <c r="F414" s="27"/>
      <c r="G414" s="27" t="str">
        <f>A426</f>
        <v>Gs-051</v>
      </c>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t="s">
        <v>1084</v>
      </c>
      <c r="AM414" s="27" t="s">
        <v>1085</v>
      </c>
    </row>
    <row r="415" spans="1:39" x14ac:dyDescent="0.35">
      <c r="A415" s="34" t="s">
        <v>1088</v>
      </c>
      <c r="B415" s="28">
        <v>63</v>
      </c>
      <c r="C415" s="27" t="s">
        <v>363</v>
      </c>
      <c r="D415" s="28" t="s">
        <v>1089</v>
      </c>
      <c r="E415" s="27" t="str">
        <f t="shared" si="3"/>
        <v>Ref-086</v>
      </c>
      <c r="F415" s="27" t="str">
        <f>A428</f>
        <v>Fn-081</v>
      </c>
      <c r="G415" s="27" t="str">
        <f>A427</f>
        <v>Gs-052</v>
      </c>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t="s">
        <v>1084</v>
      </c>
      <c r="AM415" s="27" t="s">
        <v>1085</v>
      </c>
    </row>
    <row r="416" spans="1:39" ht="29" x14ac:dyDescent="0.35">
      <c r="A416" s="34" t="s">
        <v>1090</v>
      </c>
      <c r="B416" s="28">
        <v>63</v>
      </c>
      <c r="C416" s="27" t="s">
        <v>363</v>
      </c>
      <c r="D416" s="28" t="s">
        <v>1091</v>
      </c>
      <c r="E416" s="27" t="str">
        <f t="shared" si="3"/>
        <v>Ref-087</v>
      </c>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t="s">
        <v>1084</v>
      </c>
      <c r="AM416" s="27" t="s">
        <v>1085</v>
      </c>
    </row>
    <row r="417" spans="1:39" x14ac:dyDescent="0.35">
      <c r="A417" s="34" t="s">
        <v>1092</v>
      </c>
      <c r="B417" s="28">
        <v>63</v>
      </c>
      <c r="C417" s="27" t="s">
        <v>363</v>
      </c>
      <c r="D417" s="28" t="s">
        <v>1093</v>
      </c>
      <c r="E417" s="27" t="str">
        <f t="shared" si="3"/>
        <v>Ref-088</v>
      </c>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t="s">
        <v>1084</v>
      </c>
      <c r="AM417" s="27" t="s">
        <v>1085</v>
      </c>
    </row>
    <row r="418" spans="1:39" x14ac:dyDescent="0.35">
      <c r="A418" s="34" t="s">
        <v>1094</v>
      </c>
      <c r="B418" s="28">
        <v>63</v>
      </c>
      <c r="C418" s="27" t="s">
        <v>363</v>
      </c>
      <c r="D418" s="28" t="s">
        <v>1095</v>
      </c>
      <c r="E418" s="27" t="str">
        <f t="shared" si="3"/>
        <v>Ref-089</v>
      </c>
      <c r="F418" s="27"/>
      <c r="G418" s="27" t="str">
        <f>A429</f>
        <v>Gs-053</v>
      </c>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t="s">
        <v>1084</v>
      </c>
      <c r="AM418" s="27" t="s">
        <v>1085</v>
      </c>
    </row>
    <row r="419" spans="1:39" ht="116" x14ac:dyDescent="0.35">
      <c r="A419" s="34" t="s">
        <v>1096</v>
      </c>
      <c r="B419" s="28">
        <v>63</v>
      </c>
      <c r="C419" s="27" t="s">
        <v>4</v>
      </c>
      <c r="D419" s="27" t="s">
        <v>1097</v>
      </c>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t="s">
        <v>1084</v>
      </c>
      <c r="AM419" s="27" t="s">
        <v>1085</v>
      </c>
    </row>
    <row r="420" spans="1:39" ht="29" x14ac:dyDescent="0.35">
      <c r="A420" s="34" t="s">
        <v>1098</v>
      </c>
      <c r="B420" s="28">
        <v>63</v>
      </c>
      <c r="C420" s="27" t="s">
        <v>4</v>
      </c>
      <c r="D420" s="27" t="s">
        <v>1099</v>
      </c>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t="s">
        <v>1084</v>
      </c>
      <c r="AM420" s="27" t="s">
        <v>1085</v>
      </c>
    </row>
    <row r="421" spans="1:39" x14ac:dyDescent="0.35">
      <c r="A421" s="34" t="s">
        <v>1100</v>
      </c>
      <c r="B421" s="28">
        <v>63</v>
      </c>
      <c r="C421" s="27" t="s">
        <v>4</v>
      </c>
      <c r="D421" s="27" t="s">
        <v>1101</v>
      </c>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t="s">
        <v>1084</v>
      </c>
      <c r="AM421" s="27" t="s">
        <v>1085</v>
      </c>
    </row>
    <row r="422" spans="1:39" ht="58" x14ac:dyDescent="0.35">
      <c r="A422" s="34" t="s">
        <v>1102</v>
      </c>
      <c r="B422" s="28">
        <v>63</v>
      </c>
      <c r="C422" s="27" t="s">
        <v>4</v>
      </c>
      <c r="D422" s="27" t="s">
        <v>1103</v>
      </c>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t="s">
        <v>1084</v>
      </c>
      <c r="AM422" s="27" t="s">
        <v>1085</v>
      </c>
    </row>
    <row r="423" spans="1:39" x14ac:dyDescent="0.35">
      <c r="A423" s="34" t="s">
        <v>1104</v>
      </c>
      <c r="B423" s="28">
        <v>63</v>
      </c>
      <c r="C423" s="27" t="s">
        <v>4</v>
      </c>
      <c r="D423" s="35" t="s">
        <v>1105</v>
      </c>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t="s">
        <v>1084</v>
      </c>
      <c r="AM423" s="27" t="s">
        <v>1085</v>
      </c>
    </row>
    <row r="424" spans="1:39" x14ac:dyDescent="0.35">
      <c r="A424" s="34" t="s">
        <v>1106</v>
      </c>
      <c r="B424" s="28">
        <v>63</v>
      </c>
      <c r="C424" s="27" t="s">
        <v>4</v>
      </c>
      <c r="D424" s="35" t="s">
        <v>1107</v>
      </c>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t="s">
        <v>1084</v>
      </c>
      <c r="AM424" s="27" t="s">
        <v>1085</v>
      </c>
    </row>
    <row r="425" spans="1:39" x14ac:dyDescent="0.35">
      <c r="A425" s="34" t="s">
        <v>1108</v>
      </c>
      <c r="B425" s="28">
        <v>63</v>
      </c>
      <c r="C425" s="27" t="s">
        <v>6</v>
      </c>
      <c r="D425" s="28" t="s">
        <v>181</v>
      </c>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t="s">
        <v>1084</v>
      </c>
      <c r="AM425" s="27" t="s">
        <v>1085</v>
      </c>
    </row>
    <row r="426" spans="1:39" ht="29" x14ac:dyDescent="0.35">
      <c r="A426" s="34" t="s">
        <v>1109</v>
      </c>
      <c r="B426" s="28">
        <v>63</v>
      </c>
      <c r="C426" s="27" t="s">
        <v>6</v>
      </c>
      <c r="D426" s="28" t="s">
        <v>1110</v>
      </c>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t="s">
        <v>1084</v>
      </c>
      <c r="AM426" s="27" t="s">
        <v>1085</v>
      </c>
    </row>
    <row r="427" spans="1:39" x14ac:dyDescent="0.35">
      <c r="A427" s="34" t="s">
        <v>1111</v>
      </c>
      <c r="B427" s="28">
        <v>63</v>
      </c>
      <c r="C427" s="27" t="s">
        <v>6</v>
      </c>
      <c r="D427" s="27" t="s">
        <v>1112</v>
      </c>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t="s">
        <v>1084</v>
      </c>
      <c r="AM427" s="27" t="s">
        <v>1085</v>
      </c>
    </row>
    <row r="428" spans="1:39" ht="29" x14ac:dyDescent="0.35">
      <c r="A428" s="34" t="s">
        <v>1113</v>
      </c>
      <c r="B428" s="28">
        <v>63</v>
      </c>
      <c r="C428" s="27" t="s">
        <v>79</v>
      </c>
      <c r="D428" s="28" t="s">
        <v>1114</v>
      </c>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t="s">
        <v>1084</v>
      </c>
      <c r="AM428" s="27" t="s">
        <v>1085</v>
      </c>
    </row>
    <row r="429" spans="1:39" x14ac:dyDescent="0.35">
      <c r="A429" s="34" t="s">
        <v>1115</v>
      </c>
      <c r="B429" s="28">
        <v>63</v>
      </c>
      <c r="C429" s="27" t="s">
        <v>6</v>
      </c>
      <c r="D429" s="28" t="s">
        <v>428</v>
      </c>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t="s">
        <v>1084</v>
      </c>
      <c r="AM429" s="27" t="s">
        <v>1085</v>
      </c>
    </row>
    <row r="430" spans="1:39" ht="29" x14ac:dyDescent="0.35">
      <c r="A430" s="34" t="s">
        <v>1116</v>
      </c>
      <c r="B430" s="28">
        <v>63</v>
      </c>
      <c r="C430" s="27" t="s">
        <v>32</v>
      </c>
      <c r="D430" s="28" t="s">
        <v>1117</v>
      </c>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t="s">
        <v>1084</v>
      </c>
      <c r="AM430" s="27" t="s">
        <v>1085</v>
      </c>
    </row>
    <row r="431" spans="1:39" x14ac:dyDescent="0.35">
      <c r="A431" s="34" t="s">
        <v>1118</v>
      </c>
      <c r="B431" s="28">
        <v>63</v>
      </c>
      <c r="C431" s="27" t="s">
        <v>36</v>
      </c>
      <c r="D431" s="28" t="s">
        <v>1119</v>
      </c>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t="s">
        <v>1084</v>
      </c>
      <c r="AM431" s="27" t="s">
        <v>1085</v>
      </c>
    </row>
    <row r="432" spans="1:39" x14ac:dyDescent="0.35">
      <c r="A432" s="34" t="s">
        <v>1120</v>
      </c>
      <c r="B432" s="28">
        <v>63</v>
      </c>
      <c r="C432" s="27" t="s">
        <v>36</v>
      </c>
      <c r="D432" s="27" t="s">
        <v>665</v>
      </c>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t="s">
        <v>1084</v>
      </c>
      <c r="AM432" s="27" t="s">
        <v>1085</v>
      </c>
    </row>
    <row r="433" spans="1:39" x14ac:dyDescent="0.35">
      <c r="A433" s="34" t="s">
        <v>1121</v>
      </c>
      <c r="B433" s="28">
        <v>63</v>
      </c>
      <c r="C433" s="27" t="s">
        <v>36</v>
      </c>
      <c r="D433" s="28" t="s">
        <v>1122</v>
      </c>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t="s">
        <v>1084</v>
      </c>
      <c r="AM433" s="27" t="s">
        <v>1085</v>
      </c>
    </row>
    <row r="434" spans="1:39" x14ac:dyDescent="0.35">
      <c r="A434" s="34" t="s">
        <v>1123</v>
      </c>
      <c r="B434" s="28">
        <v>63</v>
      </c>
      <c r="C434" s="27" t="s">
        <v>36</v>
      </c>
      <c r="D434" s="28" t="s">
        <v>1124</v>
      </c>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t="s">
        <v>1084</v>
      </c>
      <c r="AM434" s="27" t="s">
        <v>1085</v>
      </c>
    </row>
    <row r="435" spans="1:39" x14ac:dyDescent="0.35">
      <c r="A435" s="34" t="s">
        <v>1125</v>
      </c>
      <c r="B435" s="28">
        <v>63</v>
      </c>
      <c r="C435" s="27" t="s">
        <v>36</v>
      </c>
      <c r="D435" s="28" t="s">
        <v>1126</v>
      </c>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t="s">
        <v>1084</v>
      </c>
      <c r="AM435" s="27" t="s">
        <v>1085</v>
      </c>
    </row>
    <row r="436" spans="1:39" x14ac:dyDescent="0.35">
      <c r="A436" s="34" t="s">
        <v>1127</v>
      </c>
      <c r="B436" s="27">
        <v>64</v>
      </c>
      <c r="C436" s="27" t="s">
        <v>68</v>
      </c>
      <c r="D436" s="28" t="s">
        <v>1128</v>
      </c>
      <c r="E436" s="27" t="str">
        <f>A440</f>
        <v>Ref-090</v>
      </c>
      <c r="F436" s="27"/>
      <c r="G436" s="28"/>
      <c r="H436" s="28" t="str">
        <f>A437</f>
        <v>Cl-081</v>
      </c>
      <c r="I436" s="27" t="s">
        <v>65</v>
      </c>
      <c r="J436" s="27" t="str">
        <f>A438</f>
        <v>Cl-082</v>
      </c>
      <c r="K436" s="27" t="s">
        <v>65</v>
      </c>
      <c r="L436" s="27" t="str">
        <f>A439</f>
        <v>Cl-083</v>
      </c>
      <c r="M436" s="27" t="s">
        <v>65</v>
      </c>
      <c r="N436" s="27"/>
      <c r="O436" s="27"/>
      <c r="P436" s="27"/>
      <c r="Q436" s="27"/>
      <c r="R436" s="27" t="str">
        <f>A444</f>
        <v>RT-056</v>
      </c>
      <c r="S436" s="27" t="s">
        <v>61</v>
      </c>
      <c r="T436" s="27"/>
      <c r="U436" s="27"/>
      <c r="V436" s="27"/>
      <c r="W436" s="27"/>
      <c r="X436" s="27"/>
      <c r="Y436" s="27"/>
      <c r="Z436" s="27"/>
      <c r="AA436" s="27"/>
      <c r="AB436" s="27" t="str">
        <f>A447</f>
        <v>Comp-064</v>
      </c>
      <c r="AC436" s="27" t="s">
        <v>61</v>
      </c>
      <c r="AD436" s="27" t="str">
        <f>A448</f>
        <v>Comp-065</v>
      </c>
      <c r="AE436" s="27" t="s">
        <v>61</v>
      </c>
      <c r="AF436" s="27"/>
      <c r="AG436" s="27"/>
      <c r="AH436" s="27"/>
      <c r="AI436" s="27"/>
      <c r="AJ436" s="27"/>
      <c r="AK436" s="27"/>
      <c r="AL436" s="27" t="s">
        <v>1129</v>
      </c>
      <c r="AM436" s="27" t="s">
        <v>1130</v>
      </c>
    </row>
    <row r="437" spans="1:39" x14ac:dyDescent="0.35">
      <c r="A437" s="34" t="s">
        <v>1131</v>
      </c>
      <c r="B437" s="28">
        <v>64</v>
      </c>
      <c r="C437" s="27" t="s">
        <v>363</v>
      </c>
      <c r="D437" s="28" t="s">
        <v>364</v>
      </c>
      <c r="E437" s="27" t="str">
        <f>A440</f>
        <v>Ref-090</v>
      </c>
      <c r="F437" s="28"/>
      <c r="G437" s="28" t="str">
        <f>A441</f>
        <v>Gs-054</v>
      </c>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t="s">
        <v>1129</v>
      </c>
      <c r="AM437" s="27" t="s">
        <v>1130</v>
      </c>
    </row>
    <row r="438" spans="1:39" x14ac:dyDescent="0.35">
      <c r="A438" s="34" t="s">
        <v>1132</v>
      </c>
      <c r="B438" s="28">
        <v>64</v>
      </c>
      <c r="C438" s="27" t="s">
        <v>363</v>
      </c>
      <c r="D438" s="28" t="s">
        <v>365</v>
      </c>
      <c r="E438" s="27" t="str">
        <f>A440</f>
        <v>Ref-090</v>
      </c>
      <c r="F438" s="28"/>
      <c r="G438" s="28" t="str">
        <f>A442</f>
        <v>Gs-055</v>
      </c>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t="s">
        <v>1129</v>
      </c>
      <c r="AM438" s="27" t="s">
        <v>1130</v>
      </c>
    </row>
    <row r="439" spans="1:39" x14ac:dyDescent="0.35">
      <c r="A439" s="34" t="s">
        <v>1133</v>
      </c>
      <c r="B439" s="28">
        <v>64</v>
      </c>
      <c r="C439" s="27" t="s">
        <v>363</v>
      </c>
      <c r="D439" s="28" t="s">
        <v>366</v>
      </c>
      <c r="E439" s="27" t="str">
        <f>A440</f>
        <v>Ref-090</v>
      </c>
      <c r="F439" s="28"/>
      <c r="G439" s="28" t="str">
        <f>A443</f>
        <v>Gs-056</v>
      </c>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t="s">
        <v>1129</v>
      </c>
      <c r="AM439" s="27" t="s">
        <v>1130</v>
      </c>
    </row>
    <row r="440" spans="1:39" x14ac:dyDescent="0.35">
      <c r="A440" s="34" t="s">
        <v>1134</v>
      </c>
      <c r="B440" s="27">
        <v>64</v>
      </c>
      <c r="C440" s="27" t="s">
        <v>4</v>
      </c>
      <c r="D440" s="27" t="s">
        <v>367</v>
      </c>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t="s">
        <v>1129</v>
      </c>
      <c r="AM440" s="27" t="s">
        <v>1130</v>
      </c>
    </row>
    <row r="441" spans="1:39" ht="29" x14ac:dyDescent="0.35">
      <c r="A441" s="34" t="s">
        <v>1135</v>
      </c>
      <c r="B441" s="28">
        <v>64</v>
      </c>
      <c r="C441" s="27" t="s">
        <v>6</v>
      </c>
      <c r="D441" s="27" t="s">
        <v>368</v>
      </c>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t="s">
        <v>1129</v>
      </c>
      <c r="AM441" s="27" t="s">
        <v>1130</v>
      </c>
    </row>
    <row r="442" spans="1:39" ht="43.5" x14ac:dyDescent="0.35">
      <c r="A442" s="34" t="s">
        <v>1136</v>
      </c>
      <c r="B442" s="28">
        <v>64</v>
      </c>
      <c r="C442" s="27" t="s">
        <v>6</v>
      </c>
      <c r="D442" s="27" t="s">
        <v>369</v>
      </c>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t="s">
        <v>1129</v>
      </c>
      <c r="AM442" s="27" t="s">
        <v>1130</v>
      </c>
    </row>
    <row r="443" spans="1:39" x14ac:dyDescent="0.35">
      <c r="A443" s="34" t="s">
        <v>1137</v>
      </c>
      <c r="B443" s="28">
        <v>64</v>
      </c>
      <c r="C443" s="27" t="s">
        <v>6</v>
      </c>
      <c r="D443" s="35" t="s">
        <v>370</v>
      </c>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t="s">
        <v>1129</v>
      </c>
      <c r="AM443" s="27" t="s">
        <v>1130</v>
      </c>
    </row>
    <row r="444" spans="1:39" ht="43.5" x14ac:dyDescent="0.35">
      <c r="A444" s="34" t="s">
        <v>1138</v>
      </c>
      <c r="B444" s="27">
        <v>64</v>
      </c>
      <c r="C444" s="27" t="s">
        <v>32</v>
      </c>
      <c r="D444" s="28" t="s">
        <v>371</v>
      </c>
      <c r="E444" s="27" t="str">
        <f>A440</f>
        <v>Ref-090</v>
      </c>
      <c r="F444" s="27" t="str">
        <f>A445</f>
        <v>Fn-082</v>
      </c>
      <c r="G444" s="27" t="str">
        <f>A446</f>
        <v>Gs-057</v>
      </c>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t="s">
        <v>1129</v>
      </c>
      <c r="AM444" s="27" t="s">
        <v>1130</v>
      </c>
    </row>
    <row r="445" spans="1:39" ht="43.5" x14ac:dyDescent="0.35">
      <c r="A445" s="34" t="s">
        <v>1139</v>
      </c>
      <c r="B445" s="28">
        <v>64</v>
      </c>
      <c r="C445" s="27" t="s">
        <v>79</v>
      </c>
      <c r="D445" s="28" t="s">
        <v>372</v>
      </c>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t="s">
        <v>1129</v>
      </c>
      <c r="AM445" s="27" t="s">
        <v>1130</v>
      </c>
    </row>
    <row r="446" spans="1:39" ht="87" x14ac:dyDescent="0.35">
      <c r="A446" s="34" t="s">
        <v>1140</v>
      </c>
      <c r="B446" s="28">
        <v>64</v>
      </c>
      <c r="C446" s="27" t="s">
        <v>6</v>
      </c>
      <c r="D446" s="27" t="s">
        <v>373</v>
      </c>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t="s">
        <v>1129</v>
      </c>
      <c r="AM446" s="27" t="s">
        <v>1130</v>
      </c>
    </row>
    <row r="447" spans="1:39" x14ac:dyDescent="0.35">
      <c r="A447" s="34" t="s">
        <v>1141</v>
      </c>
      <c r="B447" s="28">
        <v>64</v>
      </c>
      <c r="C447" s="27" t="s">
        <v>36</v>
      </c>
      <c r="D447" s="27" t="s">
        <v>374</v>
      </c>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t="s">
        <v>1129</v>
      </c>
      <c r="AM447" s="27" t="s">
        <v>1130</v>
      </c>
    </row>
    <row r="448" spans="1:39" x14ac:dyDescent="0.35">
      <c r="A448" s="34" t="s">
        <v>1142</v>
      </c>
      <c r="B448" s="28">
        <v>64</v>
      </c>
      <c r="C448" s="27" t="s">
        <v>36</v>
      </c>
      <c r="D448" s="27" t="s">
        <v>375</v>
      </c>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t="s">
        <v>1129</v>
      </c>
      <c r="AM448" s="27" t="s">
        <v>1130</v>
      </c>
    </row>
    <row r="449" spans="1:39" x14ac:dyDescent="0.35">
      <c r="A449" s="34" t="s">
        <v>1143</v>
      </c>
      <c r="B449" s="27">
        <v>65</v>
      </c>
      <c r="C449" s="27" t="s">
        <v>32</v>
      </c>
      <c r="D449" s="36" t="s">
        <v>376</v>
      </c>
      <c r="E449" s="27" t="str">
        <f>A450</f>
        <v>Ref-091</v>
      </c>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t="s">
        <v>1129</v>
      </c>
      <c r="AM449" s="27" t="s">
        <v>1130</v>
      </c>
    </row>
    <row r="450" spans="1:39" ht="304.5" x14ac:dyDescent="0.35">
      <c r="A450" s="34" t="s">
        <v>1144</v>
      </c>
      <c r="B450" s="27">
        <v>65</v>
      </c>
      <c r="C450" s="27" t="s">
        <v>4</v>
      </c>
      <c r="D450" s="38" t="s">
        <v>377</v>
      </c>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t="s">
        <v>1129</v>
      </c>
      <c r="AM450" s="27" t="s">
        <v>1130</v>
      </c>
    </row>
    <row r="451" spans="1:39" x14ac:dyDescent="0.35">
      <c r="A451" s="34" t="s">
        <v>1145</v>
      </c>
      <c r="B451" s="28">
        <v>67</v>
      </c>
      <c r="C451" s="27" t="s">
        <v>32</v>
      </c>
      <c r="D451" s="28" t="s">
        <v>378</v>
      </c>
      <c r="E451" s="27" t="str">
        <f>A456</f>
        <v>Ref-092</v>
      </c>
      <c r="F451" s="27"/>
      <c r="G451" s="28"/>
      <c r="H451" s="28"/>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t="s">
        <v>1129</v>
      </c>
      <c r="AM451" s="27" t="s">
        <v>1130</v>
      </c>
    </row>
    <row r="452" spans="1:39" x14ac:dyDescent="0.35">
      <c r="A452" s="34" t="s">
        <v>1146</v>
      </c>
      <c r="B452" s="28">
        <v>67</v>
      </c>
      <c r="C452" s="27" t="s">
        <v>32</v>
      </c>
      <c r="D452" s="28" t="s">
        <v>379</v>
      </c>
      <c r="E452" s="27" t="str">
        <f>A457</f>
        <v>Ref-093</v>
      </c>
      <c r="F452" s="27"/>
      <c r="G452" s="28"/>
      <c r="H452" s="28"/>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t="s">
        <v>1129</v>
      </c>
      <c r="AM452" s="27" t="s">
        <v>1130</v>
      </c>
    </row>
    <row r="453" spans="1:39" x14ac:dyDescent="0.35">
      <c r="A453" s="34" t="s">
        <v>1147</v>
      </c>
      <c r="B453" s="28">
        <v>67</v>
      </c>
      <c r="C453" s="27" t="s">
        <v>32</v>
      </c>
      <c r="D453" s="28" t="s">
        <v>380</v>
      </c>
      <c r="E453" s="27" t="str">
        <f>A458</f>
        <v>Ref-094</v>
      </c>
      <c r="F453" s="27" t="str">
        <f>A461</f>
        <v>Fn-083</v>
      </c>
      <c r="G453" s="27" t="str">
        <f>A462</f>
        <v>Gs-058</v>
      </c>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t="s">
        <v>1129</v>
      </c>
      <c r="AM453" s="27" t="s">
        <v>1130</v>
      </c>
    </row>
    <row r="454" spans="1:39" x14ac:dyDescent="0.35">
      <c r="A454" s="34" t="s">
        <v>1148</v>
      </c>
      <c r="B454" s="28">
        <v>67</v>
      </c>
      <c r="C454" s="27" t="s">
        <v>32</v>
      </c>
      <c r="D454" s="28" t="s">
        <v>381</v>
      </c>
      <c r="E454" s="27" t="str">
        <f>A459</f>
        <v>Ref-095</v>
      </c>
      <c r="F454" s="27"/>
      <c r="G454" s="27" t="str">
        <f>A462</f>
        <v>Gs-058</v>
      </c>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t="s">
        <v>1129</v>
      </c>
      <c r="AM454" s="27" t="s">
        <v>1130</v>
      </c>
    </row>
    <row r="455" spans="1:39" x14ac:dyDescent="0.35">
      <c r="A455" s="34" t="s">
        <v>1149</v>
      </c>
      <c r="B455" s="28">
        <v>67</v>
      </c>
      <c r="C455" s="27" t="s">
        <v>32</v>
      </c>
      <c r="D455" s="28" t="s">
        <v>382</v>
      </c>
      <c r="E455" s="27" t="str">
        <f>A460</f>
        <v>Ref-096</v>
      </c>
      <c r="F455" s="27"/>
      <c r="G455" s="27" t="str">
        <f>A463</f>
        <v>Gs-059</v>
      </c>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t="s">
        <v>1129</v>
      </c>
      <c r="AM455" s="27" t="s">
        <v>1130</v>
      </c>
    </row>
    <row r="456" spans="1:39" ht="87" x14ac:dyDescent="0.35">
      <c r="A456" s="34" t="s">
        <v>1150</v>
      </c>
      <c r="B456" s="28">
        <v>67</v>
      </c>
      <c r="C456" s="27" t="s">
        <v>4</v>
      </c>
      <c r="D456" s="27" t="s">
        <v>383</v>
      </c>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t="s">
        <v>1129</v>
      </c>
      <c r="AM456" s="27" t="s">
        <v>1130</v>
      </c>
    </row>
    <row r="457" spans="1:39" x14ac:dyDescent="0.35">
      <c r="A457" s="34" t="s">
        <v>1151</v>
      </c>
      <c r="B457" s="28">
        <v>67</v>
      </c>
      <c r="C457" s="27" t="s">
        <v>4</v>
      </c>
      <c r="D457" s="35" t="s">
        <v>384</v>
      </c>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t="s">
        <v>1129</v>
      </c>
      <c r="AM457" s="27" t="s">
        <v>1130</v>
      </c>
    </row>
    <row r="458" spans="1:39" ht="43.5" x14ac:dyDescent="0.35">
      <c r="A458" s="34" t="s">
        <v>1152</v>
      </c>
      <c r="B458" s="28">
        <v>67</v>
      </c>
      <c r="C458" s="27" t="s">
        <v>4</v>
      </c>
      <c r="D458" s="27" t="s">
        <v>385</v>
      </c>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t="s">
        <v>1129</v>
      </c>
      <c r="AM458" s="27" t="s">
        <v>1130</v>
      </c>
    </row>
    <row r="459" spans="1:39" ht="43.5" x14ac:dyDescent="0.35">
      <c r="A459" s="34" t="s">
        <v>1153</v>
      </c>
      <c r="B459" s="28">
        <v>67</v>
      </c>
      <c r="C459" s="27" t="s">
        <v>4</v>
      </c>
      <c r="D459" s="27" t="s">
        <v>386</v>
      </c>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t="s">
        <v>1129</v>
      </c>
      <c r="AM459" s="27" t="s">
        <v>1130</v>
      </c>
    </row>
    <row r="460" spans="1:39" x14ac:dyDescent="0.35">
      <c r="A460" s="34" t="s">
        <v>1154</v>
      </c>
      <c r="B460" s="28">
        <v>67</v>
      </c>
      <c r="C460" s="27" t="s">
        <v>4</v>
      </c>
      <c r="D460" s="35" t="s">
        <v>387</v>
      </c>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t="s">
        <v>1129</v>
      </c>
      <c r="AM460" s="27" t="s">
        <v>1130</v>
      </c>
    </row>
    <row r="461" spans="1:39" x14ac:dyDescent="0.35">
      <c r="A461" s="34" t="s">
        <v>1155</v>
      </c>
      <c r="B461" s="28">
        <v>67</v>
      </c>
      <c r="C461" s="27" t="s">
        <v>79</v>
      </c>
      <c r="D461" s="28" t="s">
        <v>388</v>
      </c>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t="s">
        <v>1129</v>
      </c>
      <c r="AM461" s="27" t="s">
        <v>1130</v>
      </c>
    </row>
    <row r="462" spans="1:39" x14ac:dyDescent="0.35">
      <c r="A462" s="34" t="s">
        <v>1156</v>
      </c>
      <c r="B462" s="28">
        <v>67</v>
      </c>
      <c r="C462" s="27" t="s">
        <v>6</v>
      </c>
      <c r="D462" s="35" t="s">
        <v>389</v>
      </c>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t="s">
        <v>1129</v>
      </c>
      <c r="AM462" s="27" t="s">
        <v>1130</v>
      </c>
    </row>
    <row r="463" spans="1:39" x14ac:dyDescent="0.35">
      <c r="A463" s="34" t="s">
        <v>1157</v>
      </c>
      <c r="B463" s="28">
        <v>67</v>
      </c>
      <c r="C463" s="27" t="s">
        <v>6</v>
      </c>
      <c r="D463" s="28" t="s">
        <v>390</v>
      </c>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t="s">
        <v>1129</v>
      </c>
      <c r="AM463" s="27" t="s">
        <v>1130</v>
      </c>
    </row>
    <row r="464" spans="1:39" ht="29" x14ac:dyDescent="0.35">
      <c r="A464" s="34" t="s">
        <v>1158</v>
      </c>
      <c r="B464" s="28">
        <v>67</v>
      </c>
      <c r="C464" s="27" t="s">
        <v>79</v>
      </c>
      <c r="D464" s="27" t="s">
        <v>391</v>
      </c>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t="s">
        <v>1129</v>
      </c>
      <c r="AM464" s="27" t="s">
        <v>1130</v>
      </c>
    </row>
    <row r="465" spans="1:39" ht="174" x14ac:dyDescent="0.35">
      <c r="A465" s="34" t="s">
        <v>1159</v>
      </c>
      <c r="B465" s="28">
        <v>67</v>
      </c>
      <c r="C465" s="27" t="s">
        <v>6</v>
      </c>
      <c r="D465" s="27" t="s">
        <v>392</v>
      </c>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t="s">
        <v>1129</v>
      </c>
      <c r="AM465" s="27" t="s">
        <v>1130</v>
      </c>
    </row>
    <row r="466" spans="1:39" x14ac:dyDescent="0.35">
      <c r="A466" s="34" t="s">
        <v>1160</v>
      </c>
      <c r="B466" s="28">
        <v>67</v>
      </c>
      <c r="C466" s="27" t="s">
        <v>36</v>
      </c>
      <c r="D466" s="28" t="s">
        <v>393</v>
      </c>
      <c r="E466" s="27" t="str">
        <f>A460</f>
        <v>Ref-096</v>
      </c>
      <c r="F466" s="27" t="str">
        <f>A464</f>
        <v>Fn-084</v>
      </c>
      <c r="G466" s="27" t="str">
        <f>A465</f>
        <v>Gs-060</v>
      </c>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t="s">
        <v>1129</v>
      </c>
      <c r="AM466" s="27" t="s">
        <v>1130</v>
      </c>
    </row>
    <row r="467" spans="1:39" x14ac:dyDescent="0.35">
      <c r="A467" s="34" t="s">
        <v>1161</v>
      </c>
      <c r="B467" s="28">
        <v>68</v>
      </c>
      <c r="C467" s="27" t="s">
        <v>32</v>
      </c>
      <c r="D467" s="28" t="s">
        <v>394</v>
      </c>
      <c r="E467" s="27" t="str">
        <f>A471</f>
        <v>Ref-097</v>
      </c>
      <c r="F467" s="27"/>
      <c r="G467" s="28"/>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t="s">
        <v>1129</v>
      </c>
      <c r="AM467" s="27" t="s">
        <v>1130</v>
      </c>
    </row>
    <row r="468" spans="1:39" ht="29" x14ac:dyDescent="0.35">
      <c r="A468" s="34" t="s">
        <v>1162</v>
      </c>
      <c r="B468" s="28">
        <v>68</v>
      </c>
      <c r="C468" s="27" t="s">
        <v>32</v>
      </c>
      <c r="D468" s="28" t="s">
        <v>395</v>
      </c>
      <c r="E468" s="27" t="str">
        <f>A472</f>
        <v>Ref-098</v>
      </c>
      <c r="F468" s="27"/>
      <c r="G468" s="28"/>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t="s">
        <v>1129</v>
      </c>
      <c r="AM468" s="27" t="s">
        <v>1130</v>
      </c>
    </row>
    <row r="469" spans="1:39" x14ac:dyDescent="0.35">
      <c r="A469" s="34" t="s">
        <v>1163</v>
      </c>
      <c r="B469" s="28">
        <v>68</v>
      </c>
      <c r="C469" s="27" t="s">
        <v>32</v>
      </c>
      <c r="D469" s="28" t="s">
        <v>396</v>
      </c>
      <c r="E469" s="27" t="str">
        <f>A472</f>
        <v>Ref-098</v>
      </c>
      <c r="F469" s="27" t="str">
        <f>A473</f>
        <v>Fn-085</v>
      </c>
      <c r="G469" s="27" t="str">
        <f>A474</f>
        <v>Gs-061</v>
      </c>
      <c r="H469" s="35"/>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t="s">
        <v>1129</v>
      </c>
      <c r="AM469" s="27" t="s">
        <v>1130</v>
      </c>
    </row>
    <row r="470" spans="1:39" x14ac:dyDescent="0.35">
      <c r="A470" s="34" t="s">
        <v>1164</v>
      </c>
      <c r="B470" s="28">
        <v>68</v>
      </c>
      <c r="C470" s="27" t="s">
        <v>32</v>
      </c>
      <c r="D470" s="28" t="s">
        <v>397</v>
      </c>
      <c r="E470" s="27" t="str">
        <f>A472</f>
        <v>Ref-098</v>
      </c>
      <c r="F470" s="27"/>
      <c r="G470" s="28" t="str">
        <f>A474</f>
        <v>Gs-061</v>
      </c>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t="s">
        <v>1129</v>
      </c>
      <c r="AM470" s="27" t="s">
        <v>1130</v>
      </c>
    </row>
    <row r="471" spans="1:39" ht="29" x14ac:dyDescent="0.35">
      <c r="A471" s="34" t="s">
        <v>1165</v>
      </c>
      <c r="B471" s="28">
        <v>68</v>
      </c>
      <c r="C471" s="27" t="s">
        <v>4</v>
      </c>
      <c r="D471" s="27" t="s">
        <v>398</v>
      </c>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t="s">
        <v>1129</v>
      </c>
      <c r="AM471" s="27" t="s">
        <v>1130</v>
      </c>
    </row>
    <row r="472" spans="1:39" x14ac:dyDescent="0.35">
      <c r="A472" s="34" t="s">
        <v>1166</v>
      </c>
      <c r="B472" s="28">
        <v>68</v>
      </c>
      <c r="C472" s="27" t="s">
        <v>4</v>
      </c>
      <c r="D472" s="27" t="s">
        <v>399</v>
      </c>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t="s">
        <v>1129</v>
      </c>
      <c r="AM472" s="27" t="s">
        <v>1130</v>
      </c>
    </row>
    <row r="473" spans="1:39" x14ac:dyDescent="0.35">
      <c r="A473" s="34" t="s">
        <v>1167</v>
      </c>
      <c r="B473" s="28">
        <v>68</v>
      </c>
      <c r="C473" s="27" t="s">
        <v>79</v>
      </c>
      <c r="D473" s="28" t="s">
        <v>400</v>
      </c>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t="s">
        <v>1129</v>
      </c>
      <c r="AM473" s="27" t="s">
        <v>1130</v>
      </c>
    </row>
    <row r="474" spans="1:39" x14ac:dyDescent="0.35">
      <c r="A474" s="34" t="s">
        <v>1168</v>
      </c>
      <c r="B474" s="28">
        <v>68</v>
      </c>
      <c r="C474" s="27" t="s">
        <v>6</v>
      </c>
      <c r="D474" s="35" t="s">
        <v>389</v>
      </c>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t="s">
        <v>1129</v>
      </c>
      <c r="AM474" s="27" t="s">
        <v>1130</v>
      </c>
    </row>
    <row r="475" spans="1:39" ht="43.5" x14ac:dyDescent="0.35">
      <c r="A475" s="34" t="s">
        <v>1169</v>
      </c>
      <c r="B475" s="28">
        <v>68</v>
      </c>
      <c r="C475" s="27" t="s">
        <v>79</v>
      </c>
      <c r="D475" s="27" t="s">
        <v>401</v>
      </c>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t="s">
        <v>1129</v>
      </c>
      <c r="AM475" s="27" t="s">
        <v>1130</v>
      </c>
    </row>
    <row r="476" spans="1:39" ht="116" x14ac:dyDescent="0.35">
      <c r="A476" s="34" t="s">
        <v>1170</v>
      </c>
      <c r="B476" s="28">
        <v>68</v>
      </c>
      <c r="C476" s="27" t="s">
        <v>6</v>
      </c>
      <c r="D476" s="27" t="s">
        <v>402</v>
      </c>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t="s">
        <v>1129</v>
      </c>
      <c r="AM476" s="27" t="s">
        <v>1130</v>
      </c>
    </row>
    <row r="477" spans="1:39" x14ac:dyDescent="0.35">
      <c r="A477" s="34" t="s">
        <v>1171</v>
      </c>
      <c r="B477" s="28">
        <v>68</v>
      </c>
      <c r="C477" s="27" t="s">
        <v>36</v>
      </c>
      <c r="D477" s="28" t="s">
        <v>403</v>
      </c>
      <c r="E477" s="27" t="str">
        <f>A472</f>
        <v>Ref-098</v>
      </c>
      <c r="F477" s="27" t="str">
        <f>A475</f>
        <v>Fn-086</v>
      </c>
      <c r="G477" s="27" t="str">
        <f>A476</f>
        <v>Gs-062</v>
      </c>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t="s">
        <v>1129</v>
      </c>
      <c r="AM477" s="27" t="s">
        <v>1130</v>
      </c>
    </row>
    <row r="478" spans="1:39" x14ac:dyDescent="0.35">
      <c r="A478" s="34" t="s">
        <v>1172</v>
      </c>
      <c r="B478" s="28">
        <v>69</v>
      </c>
      <c r="C478" s="27" t="s">
        <v>32</v>
      </c>
      <c r="D478" s="28" t="s">
        <v>404</v>
      </c>
      <c r="E478" s="27" t="str">
        <f>A481</f>
        <v>Ref-099</v>
      </c>
      <c r="F478" s="27"/>
      <c r="G478" s="28"/>
      <c r="H478" s="28"/>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t="s">
        <v>1129</v>
      </c>
      <c r="AM478" s="27" t="s">
        <v>1130</v>
      </c>
    </row>
    <row r="479" spans="1:39" ht="29" x14ac:dyDescent="0.35">
      <c r="A479" s="34" t="s">
        <v>1173</v>
      </c>
      <c r="B479" s="28">
        <v>69</v>
      </c>
      <c r="C479" s="27" t="s">
        <v>32</v>
      </c>
      <c r="D479" s="28" t="s">
        <v>405</v>
      </c>
      <c r="E479" s="27" t="str">
        <f>A483</f>
        <v>Ref-100</v>
      </c>
      <c r="F479" s="27"/>
      <c r="G479" s="28"/>
      <c r="H479" s="28"/>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t="s">
        <v>1129</v>
      </c>
      <c r="AM479" s="27" t="s">
        <v>1130</v>
      </c>
    </row>
    <row r="480" spans="1:39" x14ac:dyDescent="0.35">
      <c r="A480" s="34" t="s">
        <v>1174</v>
      </c>
      <c r="B480" s="28">
        <v>69</v>
      </c>
      <c r="C480" s="27" t="s">
        <v>32</v>
      </c>
      <c r="D480" s="28" t="s">
        <v>406</v>
      </c>
      <c r="E480" s="27" t="str">
        <f>A483</f>
        <v>Ref-100</v>
      </c>
      <c r="F480" s="27"/>
      <c r="G480" s="28" t="str">
        <f>A484</f>
        <v>Gs-063</v>
      </c>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t="s">
        <v>1129</v>
      </c>
      <c r="AM480" s="27" t="s">
        <v>1130</v>
      </c>
    </row>
    <row r="481" spans="1:39" ht="58" x14ac:dyDescent="0.35">
      <c r="A481" s="34" t="s">
        <v>1175</v>
      </c>
      <c r="B481" s="28">
        <v>69</v>
      </c>
      <c r="C481" s="27" t="s">
        <v>4</v>
      </c>
      <c r="D481" s="27" t="s">
        <v>407</v>
      </c>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t="s">
        <v>1129</v>
      </c>
      <c r="AM481" s="27" t="s">
        <v>1130</v>
      </c>
    </row>
    <row r="482" spans="1:39" ht="29" x14ac:dyDescent="0.35">
      <c r="A482" s="34" t="s">
        <v>1176</v>
      </c>
      <c r="B482" s="28">
        <v>69</v>
      </c>
      <c r="C482" s="27" t="s">
        <v>4</v>
      </c>
      <c r="D482" s="27" t="s">
        <v>1177</v>
      </c>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row>
    <row r="483" spans="1:39" x14ac:dyDescent="0.35">
      <c r="A483" s="34" t="s">
        <v>1178</v>
      </c>
      <c r="B483" s="28">
        <v>69</v>
      </c>
      <c r="C483" s="27" t="s">
        <v>4</v>
      </c>
      <c r="D483" s="27" t="s">
        <v>408</v>
      </c>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t="s">
        <v>1129</v>
      </c>
      <c r="AM483" s="27" t="s">
        <v>1130</v>
      </c>
    </row>
    <row r="484" spans="1:39" x14ac:dyDescent="0.35">
      <c r="A484" s="34" t="s">
        <v>1179</v>
      </c>
      <c r="B484" s="28">
        <v>69</v>
      </c>
      <c r="C484" s="27" t="s">
        <v>6</v>
      </c>
      <c r="D484" s="35" t="s">
        <v>389</v>
      </c>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t="s">
        <v>1129</v>
      </c>
      <c r="AM484" s="27" t="s">
        <v>1130</v>
      </c>
    </row>
    <row r="485" spans="1:39" ht="43.5" x14ac:dyDescent="0.35">
      <c r="A485" s="34" t="s">
        <v>1180</v>
      </c>
      <c r="B485" s="28">
        <v>69</v>
      </c>
      <c r="C485" s="27" t="s">
        <v>79</v>
      </c>
      <c r="D485" s="27" t="s">
        <v>409</v>
      </c>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t="s">
        <v>1129</v>
      </c>
      <c r="AM485" s="27" t="s">
        <v>1130</v>
      </c>
    </row>
    <row r="486" spans="1:39" ht="101.5" x14ac:dyDescent="0.35">
      <c r="A486" s="34" t="s">
        <v>1181</v>
      </c>
      <c r="B486" s="28">
        <v>69</v>
      </c>
      <c r="C486" s="27" t="s">
        <v>6</v>
      </c>
      <c r="D486" s="35" t="s">
        <v>410</v>
      </c>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t="s">
        <v>1129</v>
      </c>
      <c r="AM486" s="27" t="s">
        <v>1130</v>
      </c>
    </row>
    <row r="487" spans="1:39" x14ac:dyDescent="0.35">
      <c r="A487" s="34" t="s">
        <v>1182</v>
      </c>
      <c r="B487" s="28">
        <v>69</v>
      </c>
      <c r="C487" s="27" t="s">
        <v>36</v>
      </c>
      <c r="D487" s="28" t="s">
        <v>411</v>
      </c>
      <c r="E487" s="27" t="str">
        <f>A482</f>
        <v>Ref-123</v>
      </c>
      <c r="F487" s="27" t="str">
        <f>A485</f>
        <v>Fn-087</v>
      </c>
      <c r="G487" s="27" t="str">
        <f>A486</f>
        <v>Gs-064</v>
      </c>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t="s">
        <v>1129</v>
      </c>
      <c r="AM487" s="27" t="s">
        <v>1130</v>
      </c>
    </row>
    <row r="488" spans="1:39" x14ac:dyDescent="0.35">
      <c r="A488" s="34" t="s">
        <v>1183</v>
      </c>
      <c r="B488" s="27">
        <v>70</v>
      </c>
      <c r="C488" s="27" t="s">
        <v>32</v>
      </c>
      <c r="D488" s="28" t="s">
        <v>412</v>
      </c>
      <c r="E488" s="27" t="str">
        <f>A492</f>
        <v>Ref-101</v>
      </c>
      <c r="F488" s="28"/>
      <c r="G488" s="28"/>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t="s">
        <v>1129</v>
      </c>
      <c r="AM488" s="27" t="s">
        <v>1130</v>
      </c>
    </row>
    <row r="489" spans="1:39" x14ac:dyDescent="0.35">
      <c r="A489" s="34" t="s">
        <v>1184</v>
      </c>
      <c r="B489" s="27">
        <v>70</v>
      </c>
      <c r="C489" s="27" t="s">
        <v>32</v>
      </c>
      <c r="D489" s="28" t="s">
        <v>413</v>
      </c>
      <c r="E489" s="27" t="str">
        <f>A492</f>
        <v>Ref-101</v>
      </c>
      <c r="F489" s="28"/>
      <c r="G489" s="28"/>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t="s">
        <v>1129</v>
      </c>
      <c r="AM489" s="27" t="s">
        <v>1130</v>
      </c>
    </row>
    <row r="490" spans="1:39" ht="43.5" x14ac:dyDescent="0.35">
      <c r="A490" s="34" t="s">
        <v>1185</v>
      </c>
      <c r="B490" s="27">
        <v>70</v>
      </c>
      <c r="C490" s="27" t="s">
        <v>32</v>
      </c>
      <c r="D490" s="28" t="s">
        <v>414</v>
      </c>
      <c r="E490" s="27" t="str">
        <f>A492</f>
        <v>Ref-101</v>
      </c>
      <c r="F490" s="27"/>
      <c r="G490" s="27" t="str">
        <f>A493</f>
        <v>Gs-065</v>
      </c>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t="s">
        <v>1129</v>
      </c>
      <c r="AM490" s="27" t="s">
        <v>1130</v>
      </c>
    </row>
    <row r="491" spans="1:39" ht="29" x14ac:dyDescent="0.35">
      <c r="A491" s="34" t="s">
        <v>1186</v>
      </c>
      <c r="B491" s="27">
        <v>70</v>
      </c>
      <c r="C491" s="27" t="s">
        <v>32</v>
      </c>
      <c r="D491" s="28" t="s">
        <v>415</v>
      </c>
      <c r="E491" s="27" t="str">
        <f>A492</f>
        <v>Ref-101</v>
      </c>
      <c r="F491" s="27" t="str">
        <f>A494</f>
        <v>Fn-088</v>
      </c>
      <c r="G491" s="27" t="str">
        <f>A495</f>
        <v>Gs-066</v>
      </c>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t="s">
        <v>1129</v>
      </c>
      <c r="AM491" s="27" t="s">
        <v>1130</v>
      </c>
    </row>
    <row r="492" spans="1:39" x14ac:dyDescent="0.35">
      <c r="A492" s="34" t="s">
        <v>1187</v>
      </c>
      <c r="B492" s="27">
        <v>70</v>
      </c>
      <c r="C492" s="27" t="s">
        <v>4</v>
      </c>
      <c r="D492" s="27" t="s">
        <v>416</v>
      </c>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t="s">
        <v>1129</v>
      </c>
      <c r="AM492" s="27" t="s">
        <v>1130</v>
      </c>
    </row>
    <row r="493" spans="1:39" ht="43.5" x14ac:dyDescent="0.35">
      <c r="A493" s="34" t="s">
        <v>1188</v>
      </c>
      <c r="B493" s="27">
        <v>70</v>
      </c>
      <c r="C493" s="27" t="s">
        <v>6</v>
      </c>
      <c r="D493" s="28" t="s">
        <v>417</v>
      </c>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t="s">
        <v>1129</v>
      </c>
      <c r="AM493" s="27" t="s">
        <v>1130</v>
      </c>
    </row>
    <row r="494" spans="1:39" x14ac:dyDescent="0.35">
      <c r="A494" s="34" t="s">
        <v>1189</v>
      </c>
      <c r="B494" s="27">
        <v>70</v>
      </c>
      <c r="C494" s="27" t="s">
        <v>79</v>
      </c>
      <c r="D494" s="35" t="s">
        <v>400</v>
      </c>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t="s">
        <v>1129</v>
      </c>
      <c r="AM494" s="27" t="s">
        <v>1130</v>
      </c>
    </row>
    <row r="495" spans="1:39" ht="72.5" x14ac:dyDescent="0.35">
      <c r="A495" s="34" t="s">
        <v>1190</v>
      </c>
      <c r="B495" s="27">
        <v>70</v>
      </c>
      <c r="C495" s="27" t="s">
        <v>6</v>
      </c>
      <c r="D495" s="28" t="s">
        <v>418</v>
      </c>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t="s">
        <v>1129</v>
      </c>
      <c r="AM495" s="27" t="s">
        <v>1130</v>
      </c>
    </row>
    <row r="496" spans="1:39" ht="217.5" x14ac:dyDescent="0.35">
      <c r="A496" s="34" t="s">
        <v>1191</v>
      </c>
      <c r="B496" s="27">
        <v>70</v>
      </c>
      <c r="C496" s="27" t="s">
        <v>79</v>
      </c>
      <c r="D496" s="27" t="s">
        <v>419</v>
      </c>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t="s">
        <v>1129</v>
      </c>
      <c r="AM496" s="27" t="s">
        <v>1130</v>
      </c>
    </row>
    <row r="497" spans="1:39" ht="101.5" x14ac:dyDescent="0.35">
      <c r="A497" s="34" t="s">
        <v>1192</v>
      </c>
      <c r="B497" s="27">
        <v>70</v>
      </c>
      <c r="C497" s="27" t="s">
        <v>6</v>
      </c>
      <c r="D497" s="35" t="s">
        <v>420</v>
      </c>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t="s">
        <v>1129</v>
      </c>
      <c r="AM497" s="27" t="s">
        <v>1130</v>
      </c>
    </row>
    <row r="498" spans="1:39" x14ac:dyDescent="0.35">
      <c r="A498" s="34" t="s">
        <v>1193</v>
      </c>
      <c r="B498" s="27">
        <v>70</v>
      </c>
      <c r="C498" s="27" t="s">
        <v>36</v>
      </c>
      <c r="D498" s="28" t="s">
        <v>421</v>
      </c>
      <c r="E498" s="27" t="str">
        <f>A492</f>
        <v>Ref-101</v>
      </c>
      <c r="F498" s="27" t="str">
        <f>A496</f>
        <v>Fn-089</v>
      </c>
      <c r="G498" s="27" t="str">
        <f>A497</f>
        <v>Gs-067</v>
      </c>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t="s">
        <v>1129</v>
      </c>
      <c r="AM498" s="27" t="s">
        <v>1130</v>
      </c>
    </row>
    <row r="499" spans="1:39" x14ac:dyDescent="0.35">
      <c r="A499" s="34" t="s">
        <v>1194</v>
      </c>
      <c r="B499" s="28">
        <v>71</v>
      </c>
      <c r="C499" s="27" t="s">
        <v>32</v>
      </c>
      <c r="D499" s="28" t="s">
        <v>422</v>
      </c>
      <c r="E499" s="27" t="str">
        <f>A503</f>
        <v>Ref-102</v>
      </c>
      <c r="F499" s="28"/>
      <c r="G499" s="28" t="str">
        <f>A506</f>
        <v>Gs-069</v>
      </c>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t="s">
        <v>1129</v>
      </c>
      <c r="AM499" s="27" t="s">
        <v>1130</v>
      </c>
    </row>
    <row r="500" spans="1:39" x14ac:dyDescent="0.35">
      <c r="A500" s="34" t="s">
        <v>1195</v>
      </c>
      <c r="B500" s="28">
        <v>71</v>
      </c>
      <c r="C500" s="27" t="s">
        <v>32</v>
      </c>
      <c r="D500" s="28" t="s">
        <v>423</v>
      </c>
      <c r="E500" s="27" t="str">
        <f>A503</f>
        <v>Ref-102</v>
      </c>
      <c r="F500" s="28"/>
      <c r="G500" s="28"/>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t="s">
        <v>1129</v>
      </c>
      <c r="AM500" s="27" t="s">
        <v>1130</v>
      </c>
    </row>
    <row r="501" spans="1:39" ht="58" x14ac:dyDescent="0.35">
      <c r="A501" s="34" t="s">
        <v>1196</v>
      </c>
      <c r="B501" s="28">
        <v>71</v>
      </c>
      <c r="C501" s="27" t="s">
        <v>32</v>
      </c>
      <c r="D501" s="28" t="s">
        <v>424</v>
      </c>
      <c r="E501" s="27" t="str">
        <f>A503</f>
        <v>Ref-102</v>
      </c>
      <c r="F501" s="27" t="str">
        <f>A504</f>
        <v>Fn-090</v>
      </c>
      <c r="G501" s="27" t="str">
        <f>A505</f>
        <v>Gs-068</v>
      </c>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t="s">
        <v>1129</v>
      </c>
      <c r="AM501" s="27" t="s">
        <v>1130</v>
      </c>
    </row>
    <row r="502" spans="1:39" ht="58" x14ac:dyDescent="0.35">
      <c r="A502" s="34" t="s">
        <v>1197</v>
      </c>
      <c r="B502" s="28">
        <v>71</v>
      </c>
      <c r="C502" s="27" t="s">
        <v>32</v>
      </c>
      <c r="D502" s="28" t="s">
        <v>425</v>
      </c>
      <c r="E502" s="27" t="str">
        <f>A503</f>
        <v>Ref-102</v>
      </c>
      <c r="F502" s="28"/>
      <c r="G502" s="28" t="str">
        <f>A507</f>
        <v>Gs-070</v>
      </c>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t="s">
        <v>1129</v>
      </c>
      <c r="AM502" s="27" t="s">
        <v>1130</v>
      </c>
    </row>
    <row r="503" spans="1:39" x14ac:dyDescent="0.35">
      <c r="A503" s="34" t="s">
        <v>1198</v>
      </c>
      <c r="B503" s="28">
        <v>71</v>
      </c>
      <c r="C503" s="27" t="s">
        <v>4</v>
      </c>
      <c r="D503" s="27" t="s">
        <v>288</v>
      </c>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t="s">
        <v>1129</v>
      </c>
      <c r="AM503" s="27" t="s">
        <v>1130</v>
      </c>
    </row>
    <row r="504" spans="1:39" ht="29" x14ac:dyDescent="0.35">
      <c r="A504" s="34" t="s">
        <v>1199</v>
      </c>
      <c r="B504" s="28">
        <v>71</v>
      </c>
      <c r="C504" s="27" t="s">
        <v>79</v>
      </c>
      <c r="D504" s="28" t="s">
        <v>426</v>
      </c>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t="s">
        <v>1129</v>
      </c>
      <c r="AM504" s="27" t="s">
        <v>1130</v>
      </c>
    </row>
    <row r="505" spans="1:39" ht="58" x14ac:dyDescent="0.35">
      <c r="A505" s="34" t="s">
        <v>1200</v>
      </c>
      <c r="B505" s="28">
        <v>71</v>
      </c>
      <c r="C505" s="27" t="s">
        <v>6</v>
      </c>
      <c r="D505" s="27" t="s">
        <v>427</v>
      </c>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t="s">
        <v>1129</v>
      </c>
      <c r="AM505" s="27" t="s">
        <v>1130</v>
      </c>
    </row>
    <row r="506" spans="1:39" x14ac:dyDescent="0.35">
      <c r="A506" s="34" t="s">
        <v>1201</v>
      </c>
      <c r="B506" s="28">
        <v>71</v>
      </c>
      <c r="C506" s="27" t="s">
        <v>6</v>
      </c>
      <c r="D506" s="28" t="s">
        <v>428</v>
      </c>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t="s">
        <v>1129</v>
      </c>
      <c r="AM506" s="27" t="s">
        <v>1130</v>
      </c>
    </row>
    <row r="507" spans="1:39" ht="58" x14ac:dyDescent="0.35">
      <c r="A507" s="34" t="s">
        <v>1202</v>
      </c>
      <c r="B507" s="28">
        <v>71</v>
      </c>
      <c r="C507" s="27" t="s">
        <v>6</v>
      </c>
      <c r="D507" s="28" t="s">
        <v>429</v>
      </c>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t="s">
        <v>1129</v>
      </c>
      <c r="AM507" s="27" t="s">
        <v>1130</v>
      </c>
    </row>
    <row r="508" spans="1:39" x14ac:dyDescent="0.35">
      <c r="A508" s="34" t="s">
        <v>1203</v>
      </c>
      <c r="B508" s="28">
        <v>71</v>
      </c>
      <c r="C508" s="27" t="s">
        <v>79</v>
      </c>
      <c r="D508" s="27" t="s">
        <v>430</v>
      </c>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t="s">
        <v>1129</v>
      </c>
      <c r="AM508" s="27" t="s">
        <v>1130</v>
      </c>
    </row>
    <row r="509" spans="1:39" ht="159.5" x14ac:dyDescent="0.35">
      <c r="A509" s="34" t="s">
        <v>1204</v>
      </c>
      <c r="B509" s="28">
        <v>71</v>
      </c>
      <c r="C509" s="27" t="s">
        <v>6</v>
      </c>
      <c r="D509" s="39" t="s">
        <v>431</v>
      </c>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t="s">
        <v>1129</v>
      </c>
      <c r="AM509" s="27" t="s">
        <v>1130</v>
      </c>
    </row>
    <row r="510" spans="1:39" x14ac:dyDescent="0.35">
      <c r="A510" s="34" t="s">
        <v>1205</v>
      </c>
      <c r="B510" s="28">
        <v>71</v>
      </c>
      <c r="C510" s="27" t="s">
        <v>36</v>
      </c>
      <c r="D510" s="28" t="s">
        <v>432</v>
      </c>
      <c r="E510" s="27" t="str">
        <f>A503</f>
        <v>Ref-102</v>
      </c>
      <c r="F510" s="27" t="str">
        <f>A508</f>
        <v>Fn-091</v>
      </c>
      <c r="G510" s="27" t="str">
        <f>A509</f>
        <v>Gs-071</v>
      </c>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t="s">
        <v>1129</v>
      </c>
      <c r="AM510" s="27" t="s">
        <v>1130</v>
      </c>
    </row>
    <row r="511" spans="1:39" x14ac:dyDescent="0.35">
      <c r="A511" s="34" t="s">
        <v>1206</v>
      </c>
      <c r="B511" s="28">
        <v>72</v>
      </c>
      <c r="C511" s="27" t="s">
        <v>32</v>
      </c>
      <c r="D511" s="28" t="s">
        <v>433</v>
      </c>
      <c r="E511" s="27" t="str">
        <f>A514</f>
        <v>Ref-103</v>
      </c>
      <c r="F511" s="28" t="s">
        <v>434</v>
      </c>
      <c r="G511" s="28" t="s">
        <v>434</v>
      </c>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t="s">
        <v>1129</v>
      </c>
      <c r="AM511" s="27" t="s">
        <v>1130</v>
      </c>
    </row>
    <row r="512" spans="1:39" x14ac:dyDescent="0.35">
      <c r="A512" s="34" t="s">
        <v>1207</v>
      </c>
      <c r="B512" s="28">
        <v>72</v>
      </c>
      <c r="C512" s="27" t="s">
        <v>32</v>
      </c>
      <c r="D512" s="28" t="s">
        <v>435</v>
      </c>
      <c r="E512" s="35" t="str">
        <f>A516</f>
        <v>Ref-104</v>
      </c>
      <c r="F512" s="28" t="s">
        <v>434</v>
      </c>
      <c r="G512" s="28" t="s">
        <v>434</v>
      </c>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t="s">
        <v>1129</v>
      </c>
      <c r="AM512" s="27" t="s">
        <v>1130</v>
      </c>
    </row>
    <row r="513" spans="1:39" x14ac:dyDescent="0.35">
      <c r="A513" s="34" t="s">
        <v>1208</v>
      </c>
      <c r="B513" s="28">
        <v>72</v>
      </c>
      <c r="C513" s="27" t="s">
        <v>32</v>
      </c>
      <c r="D513" s="28" t="s">
        <v>396</v>
      </c>
      <c r="E513" s="35" t="str">
        <f>A516</f>
        <v>Ref-104</v>
      </c>
      <c r="F513" s="27" t="str">
        <f>A515</f>
        <v>Fn-092</v>
      </c>
      <c r="G513" s="27" t="str">
        <f>A517</f>
        <v>Gs-072</v>
      </c>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t="s">
        <v>1129</v>
      </c>
      <c r="AM513" s="27" t="s">
        <v>1130</v>
      </c>
    </row>
    <row r="514" spans="1:39" ht="43.5" x14ac:dyDescent="0.35">
      <c r="A514" s="34" t="s">
        <v>1209</v>
      </c>
      <c r="B514" s="28">
        <v>72</v>
      </c>
      <c r="C514" s="27" t="s">
        <v>4</v>
      </c>
      <c r="D514" s="27" t="s">
        <v>436</v>
      </c>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t="s">
        <v>1129</v>
      </c>
      <c r="AM514" s="27" t="s">
        <v>1130</v>
      </c>
    </row>
    <row r="515" spans="1:39" ht="29" x14ac:dyDescent="0.35">
      <c r="A515" s="34" t="s">
        <v>1210</v>
      </c>
      <c r="B515" s="28">
        <v>72</v>
      </c>
      <c r="C515" s="27" t="s">
        <v>79</v>
      </c>
      <c r="D515" s="28" t="s">
        <v>437</v>
      </c>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t="s">
        <v>1129</v>
      </c>
      <c r="AM515" s="27" t="s">
        <v>1130</v>
      </c>
    </row>
    <row r="516" spans="1:39" ht="29" x14ac:dyDescent="0.35">
      <c r="A516" s="34" t="s">
        <v>1211</v>
      </c>
      <c r="B516" s="28">
        <v>72</v>
      </c>
      <c r="C516" s="27" t="s">
        <v>4</v>
      </c>
      <c r="D516" s="35" t="s">
        <v>438</v>
      </c>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t="s">
        <v>1129</v>
      </c>
      <c r="AM516" s="27" t="s">
        <v>1130</v>
      </c>
    </row>
    <row r="517" spans="1:39" x14ac:dyDescent="0.35">
      <c r="A517" s="34" t="s">
        <v>1212</v>
      </c>
      <c r="B517" s="28">
        <v>72</v>
      </c>
      <c r="C517" s="27" t="s">
        <v>6</v>
      </c>
      <c r="D517" s="35" t="s">
        <v>389</v>
      </c>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t="s">
        <v>1129</v>
      </c>
      <c r="AM517" s="27" t="s">
        <v>1130</v>
      </c>
    </row>
    <row r="518" spans="1:39" ht="72.5" x14ac:dyDescent="0.35">
      <c r="A518" s="34" t="s">
        <v>1213</v>
      </c>
      <c r="B518" s="28">
        <v>72</v>
      </c>
      <c r="C518" s="27" t="s">
        <v>79</v>
      </c>
      <c r="D518" s="27" t="s">
        <v>439</v>
      </c>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t="s">
        <v>1129</v>
      </c>
      <c r="AM518" s="27" t="s">
        <v>1130</v>
      </c>
    </row>
    <row r="519" spans="1:39" ht="174" x14ac:dyDescent="0.35">
      <c r="A519" s="34" t="s">
        <v>1214</v>
      </c>
      <c r="B519" s="28">
        <v>72</v>
      </c>
      <c r="C519" s="27" t="s">
        <v>6</v>
      </c>
      <c r="D519" s="27" t="s">
        <v>440</v>
      </c>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t="s">
        <v>1129</v>
      </c>
      <c r="AM519" s="27" t="s">
        <v>1130</v>
      </c>
    </row>
    <row r="520" spans="1:39" x14ac:dyDescent="0.35">
      <c r="A520" s="34" t="s">
        <v>1215</v>
      </c>
      <c r="B520" s="28">
        <v>72</v>
      </c>
      <c r="C520" s="27" t="s">
        <v>36</v>
      </c>
      <c r="D520" s="28" t="s">
        <v>441</v>
      </c>
      <c r="E520" s="27" t="str">
        <f>A514</f>
        <v>Ref-103</v>
      </c>
      <c r="F520" s="27" t="str">
        <f>A518</f>
        <v>Fn-093</v>
      </c>
      <c r="G520" s="27" t="str">
        <f>A519</f>
        <v>Gs-073</v>
      </c>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t="s">
        <v>1129</v>
      </c>
      <c r="AM520" s="27" t="s">
        <v>1130</v>
      </c>
    </row>
    <row r="521" spans="1:39" x14ac:dyDescent="0.35">
      <c r="A521" s="34" t="s">
        <v>1216</v>
      </c>
      <c r="B521" s="28">
        <v>73</v>
      </c>
      <c r="C521" s="27" t="s">
        <v>32</v>
      </c>
      <c r="D521" s="28" t="s">
        <v>442</v>
      </c>
      <c r="E521" s="27" t="str">
        <f>A525</f>
        <v>Ref-105</v>
      </c>
      <c r="F521" s="27" t="str">
        <f>A527</f>
        <v>Fn-094</v>
      </c>
      <c r="G521" s="27"/>
      <c r="H521" s="28"/>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t="s">
        <v>1129</v>
      </c>
      <c r="AM521" s="27" t="s">
        <v>1130</v>
      </c>
    </row>
    <row r="522" spans="1:39" x14ac:dyDescent="0.35">
      <c r="A522" s="34" t="s">
        <v>1217</v>
      </c>
      <c r="B522" s="28">
        <v>73</v>
      </c>
      <c r="C522" s="27" t="s">
        <v>32</v>
      </c>
      <c r="D522" s="28" t="s">
        <v>443</v>
      </c>
      <c r="E522" s="27" t="str">
        <f>A525</f>
        <v>Ref-105</v>
      </c>
      <c r="F522" s="27"/>
      <c r="G522" s="28"/>
      <c r="H522" s="28"/>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t="s">
        <v>1129</v>
      </c>
      <c r="AM522" s="27" t="s">
        <v>1130</v>
      </c>
    </row>
    <row r="523" spans="1:39" ht="29" x14ac:dyDescent="0.35">
      <c r="A523" s="34" t="s">
        <v>1218</v>
      </c>
      <c r="B523" s="28">
        <v>73</v>
      </c>
      <c r="C523" s="27" t="s">
        <v>32</v>
      </c>
      <c r="D523" s="28" t="s">
        <v>444</v>
      </c>
      <c r="E523" s="27" t="str">
        <f>A526</f>
        <v>Ref-106</v>
      </c>
      <c r="F523" s="27"/>
      <c r="G523" s="28" t="str">
        <f>A528</f>
        <v>Gs-074</v>
      </c>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t="s">
        <v>1129</v>
      </c>
      <c r="AM523" s="27" t="s">
        <v>1130</v>
      </c>
    </row>
    <row r="524" spans="1:39" x14ac:dyDescent="0.35">
      <c r="A524" s="34" t="s">
        <v>1219</v>
      </c>
      <c r="B524" s="28">
        <v>73</v>
      </c>
      <c r="C524" s="27" t="s">
        <v>32</v>
      </c>
      <c r="D524" s="28" t="s">
        <v>445</v>
      </c>
      <c r="E524" s="27" t="str">
        <f>A526</f>
        <v>Ref-106</v>
      </c>
      <c r="F524" s="27"/>
      <c r="G524" s="28"/>
      <c r="H524" s="28"/>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t="s">
        <v>1129</v>
      </c>
      <c r="AM524" s="27" t="s">
        <v>1130</v>
      </c>
    </row>
    <row r="525" spans="1:39" ht="58" x14ac:dyDescent="0.35">
      <c r="A525" s="34" t="s">
        <v>1220</v>
      </c>
      <c r="B525" s="28">
        <v>73</v>
      </c>
      <c r="C525" s="27" t="s">
        <v>4</v>
      </c>
      <c r="D525" s="27" t="s">
        <v>446</v>
      </c>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t="s">
        <v>1129</v>
      </c>
      <c r="AM525" s="27" t="s">
        <v>1130</v>
      </c>
    </row>
    <row r="526" spans="1:39" ht="29" x14ac:dyDescent="0.35">
      <c r="A526" s="34" t="s">
        <v>1221</v>
      </c>
      <c r="B526" s="28">
        <v>73</v>
      </c>
      <c r="C526" s="27" t="s">
        <v>4</v>
      </c>
      <c r="D526" s="27" t="s">
        <v>447</v>
      </c>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t="s">
        <v>1129</v>
      </c>
      <c r="AM526" s="27" t="s">
        <v>1130</v>
      </c>
    </row>
    <row r="527" spans="1:39" x14ac:dyDescent="0.35">
      <c r="A527" s="34" t="s">
        <v>1222</v>
      </c>
      <c r="B527" s="28">
        <v>73</v>
      </c>
      <c r="C527" s="27" t="s">
        <v>79</v>
      </c>
      <c r="D527" s="28" t="s">
        <v>448</v>
      </c>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t="s">
        <v>1129</v>
      </c>
      <c r="AM527" s="27" t="s">
        <v>1130</v>
      </c>
    </row>
    <row r="528" spans="1:39" x14ac:dyDescent="0.35">
      <c r="A528" s="34" t="s">
        <v>1223</v>
      </c>
      <c r="B528" s="28">
        <v>73</v>
      </c>
      <c r="C528" s="27" t="s">
        <v>6</v>
      </c>
      <c r="D528" s="28" t="s">
        <v>449</v>
      </c>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t="s">
        <v>1129</v>
      </c>
      <c r="AM528" s="27" t="s">
        <v>1130</v>
      </c>
    </row>
    <row r="529" spans="1:39" ht="87" x14ac:dyDescent="0.35">
      <c r="A529" s="34" t="s">
        <v>1224</v>
      </c>
      <c r="B529" s="28">
        <v>73</v>
      </c>
      <c r="C529" s="27" t="s">
        <v>79</v>
      </c>
      <c r="D529" s="27" t="s">
        <v>450</v>
      </c>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t="s">
        <v>1129</v>
      </c>
      <c r="AM529" s="27" t="s">
        <v>1130</v>
      </c>
    </row>
    <row r="530" spans="1:39" ht="130.5" x14ac:dyDescent="0.35">
      <c r="A530" s="34" t="s">
        <v>1225</v>
      </c>
      <c r="B530" s="28">
        <v>73</v>
      </c>
      <c r="C530" s="27" t="s">
        <v>6</v>
      </c>
      <c r="D530" s="27" t="s">
        <v>451</v>
      </c>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t="s">
        <v>1129</v>
      </c>
      <c r="AM530" s="27" t="s">
        <v>1130</v>
      </c>
    </row>
    <row r="531" spans="1:39" x14ac:dyDescent="0.35">
      <c r="A531" s="34" t="s">
        <v>1226</v>
      </c>
      <c r="B531" s="28">
        <v>73</v>
      </c>
      <c r="C531" s="27" t="s">
        <v>36</v>
      </c>
      <c r="D531" s="28" t="s">
        <v>452</v>
      </c>
      <c r="E531" s="27" t="str">
        <f>A525</f>
        <v>Ref-105</v>
      </c>
      <c r="F531" s="27" t="str">
        <f>A529</f>
        <v>Fn-095</v>
      </c>
      <c r="G531" s="27" t="str">
        <f>A530</f>
        <v>Gs-075</v>
      </c>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t="s">
        <v>1129</v>
      </c>
      <c r="AM531" s="27" t="s">
        <v>1130</v>
      </c>
    </row>
    <row r="532" spans="1:39" x14ac:dyDescent="0.35">
      <c r="A532" s="34" t="s">
        <v>1227</v>
      </c>
      <c r="B532" s="28">
        <v>74</v>
      </c>
      <c r="C532" s="27" t="s">
        <v>32</v>
      </c>
      <c r="D532" s="28" t="s">
        <v>453</v>
      </c>
      <c r="E532" s="27" t="str">
        <f>A536</f>
        <v>Ref-107</v>
      </c>
      <c r="F532" s="27"/>
      <c r="G532" s="28"/>
      <c r="H532" s="28"/>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t="s">
        <v>1129</v>
      </c>
      <c r="AM532" s="27" t="s">
        <v>1130</v>
      </c>
    </row>
    <row r="533" spans="1:39" x14ac:dyDescent="0.35">
      <c r="A533" s="34" t="s">
        <v>1228</v>
      </c>
      <c r="B533" s="28">
        <v>74</v>
      </c>
      <c r="C533" s="27" t="s">
        <v>32</v>
      </c>
      <c r="D533" s="28" t="s">
        <v>454</v>
      </c>
      <c r="E533" s="27" t="str">
        <f>A536</f>
        <v>Ref-107</v>
      </c>
      <c r="F533" s="27"/>
      <c r="G533" s="28"/>
      <c r="H533" s="28"/>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t="s">
        <v>1129</v>
      </c>
      <c r="AM533" s="27" t="s">
        <v>1130</v>
      </c>
    </row>
    <row r="534" spans="1:39" x14ac:dyDescent="0.35">
      <c r="A534" s="34" t="s">
        <v>1229</v>
      </c>
      <c r="B534" s="28">
        <v>74</v>
      </c>
      <c r="C534" s="27" t="s">
        <v>32</v>
      </c>
      <c r="D534" s="28" t="s">
        <v>455</v>
      </c>
      <c r="E534" s="27" t="str">
        <f>A536</f>
        <v>Ref-107</v>
      </c>
      <c r="F534" s="27" t="str">
        <f>A537</f>
        <v>Fn-096</v>
      </c>
      <c r="G534" s="27" t="str">
        <f>A538</f>
        <v>Gs-076</v>
      </c>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t="s">
        <v>1129</v>
      </c>
      <c r="AM534" s="27" t="s">
        <v>1130</v>
      </c>
    </row>
    <row r="535" spans="1:39" ht="58" x14ac:dyDescent="0.35">
      <c r="A535" s="34" t="s">
        <v>1230</v>
      </c>
      <c r="B535" s="28">
        <v>74</v>
      </c>
      <c r="C535" s="27" t="s">
        <v>32</v>
      </c>
      <c r="D535" s="28" t="s">
        <v>456</v>
      </c>
      <c r="E535" s="27" t="str">
        <f>A536</f>
        <v>Ref-107</v>
      </c>
      <c r="F535" s="27"/>
      <c r="G535" s="27" t="str">
        <f>A539</f>
        <v>Gs-077</v>
      </c>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t="s">
        <v>1129</v>
      </c>
      <c r="AM535" s="27" t="s">
        <v>1130</v>
      </c>
    </row>
    <row r="536" spans="1:39" x14ac:dyDescent="0.35">
      <c r="A536" s="34" t="s">
        <v>1231</v>
      </c>
      <c r="B536" s="28">
        <v>74</v>
      </c>
      <c r="C536" s="27" t="s">
        <v>4</v>
      </c>
      <c r="D536" s="27" t="s">
        <v>287</v>
      </c>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t="s">
        <v>1129</v>
      </c>
      <c r="AM536" s="27" t="s">
        <v>1130</v>
      </c>
    </row>
    <row r="537" spans="1:39" x14ac:dyDescent="0.35">
      <c r="A537" s="34" t="s">
        <v>1232</v>
      </c>
      <c r="B537" s="28">
        <v>74</v>
      </c>
      <c r="C537" s="27" t="s">
        <v>79</v>
      </c>
      <c r="D537" s="28" t="s">
        <v>457</v>
      </c>
      <c r="E537" s="28" t="s">
        <v>434</v>
      </c>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t="s">
        <v>1129</v>
      </c>
      <c r="AM537" s="27" t="s">
        <v>1130</v>
      </c>
    </row>
    <row r="538" spans="1:39" x14ac:dyDescent="0.35">
      <c r="A538" s="34" t="s">
        <v>1233</v>
      </c>
      <c r="B538" s="28">
        <v>74</v>
      </c>
      <c r="C538" s="27" t="s">
        <v>6</v>
      </c>
      <c r="D538" s="27" t="s">
        <v>389</v>
      </c>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t="s">
        <v>1129</v>
      </c>
      <c r="AM538" s="27" t="s">
        <v>1130</v>
      </c>
    </row>
    <row r="539" spans="1:39" ht="29" x14ac:dyDescent="0.35">
      <c r="A539" s="34" t="s">
        <v>1234</v>
      </c>
      <c r="B539" s="28">
        <v>74</v>
      </c>
      <c r="C539" s="27" t="s">
        <v>6</v>
      </c>
      <c r="D539" s="27" t="s">
        <v>458</v>
      </c>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t="s">
        <v>1129</v>
      </c>
      <c r="AM539" s="27" t="s">
        <v>1130</v>
      </c>
    </row>
    <row r="540" spans="1:39" x14ac:dyDescent="0.35">
      <c r="A540" s="34" t="s">
        <v>1235</v>
      </c>
      <c r="B540" s="28">
        <v>74</v>
      </c>
      <c r="C540" s="27" t="s">
        <v>79</v>
      </c>
      <c r="D540" s="27" t="s">
        <v>459</v>
      </c>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t="s">
        <v>1129</v>
      </c>
      <c r="AM540" s="27" t="s">
        <v>1130</v>
      </c>
    </row>
    <row r="541" spans="1:39" ht="130.5" x14ac:dyDescent="0.35">
      <c r="A541" s="34" t="s">
        <v>1236</v>
      </c>
      <c r="B541" s="28">
        <v>74</v>
      </c>
      <c r="C541" s="27" t="s">
        <v>6</v>
      </c>
      <c r="D541" s="27" t="s">
        <v>460</v>
      </c>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t="s">
        <v>1129</v>
      </c>
      <c r="AM541" s="27" t="s">
        <v>1130</v>
      </c>
    </row>
    <row r="542" spans="1:39" x14ac:dyDescent="0.35">
      <c r="A542" s="34" t="s">
        <v>1237</v>
      </c>
      <c r="B542" s="28">
        <v>74</v>
      </c>
      <c r="C542" s="27" t="s">
        <v>36</v>
      </c>
      <c r="D542" s="28" t="s">
        <v>461</v>
      </c>
      <c r="E542" s="27" t="str">
        <f>A536</f>
        <v>Ref-107</v>
      </c>
      <c r="F542" s="27" t="str">
        <f>A540</f>
        <v>Fn-097</v>
      </c>
      <c r="G542" s="27" t="str">
        <f>A541</f>
        <v>Gs-078</v>
      </c>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t="s">
        <v>1129</v>
      </c>
      <c r="AM542" s="27" t="s">
        <v>1130</v>
      </c>
    </row>
    <row r="543" spans="1:39" x14ac:dyDescent="0.35">
      <c r="A543" s="34" t="s">
        <v>1238</v>
      </c>
      <c r="B543" s="28">
        <v>75</v>
      </c>
      <c r="C543" s="27" t="s">
        <v>32</v>
      </c>
      <c r="D543" s="28" t="s">
        <v>462</v>
      </c>
      <c r="E543" s="27" t="str">
        <f>A548</f>
        <v>Ref-108</v>
      </c>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t="s">
        <v>1129</v>
      </c>
      <c r="AM543" s="27" t="s">
        <v>1130</v>
      </c>
    </row>
    <row r="544" spans="1:39" x14ac:dyDescent="0.35">
      <c r="A544" s="34" t="s">
        <v>1239</v>
      </c>
      <c r="B544" s="28">
        <v>75</v>
      </c>
      <c r="C544" s="27" t="s">
        <v>32</v>
      </c>
      <c r="D544" s="28" t="s">
        <v>463</v>
      </c>
      <c r="E544" s="27" t="str">
        <f>A547</f>
        <v>Ref-122</v>
      </c>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t="s">
        <v>1129</v>
      </c>
      <c r="AM544" s="27" t="s">
        <v>1130</v>
      </c>
    </row>
    <row r="545" spans="1:39" x14ac:dyDescent="0.35">
      <c r="A545" s="34" t="s">
        <v>1240</v>
      </c>
      <c r="B545" s="28">
        <v>75</v>
      </c>
      <c r="C545" s="27" t="s">
        <v>32</v>
      </c>
      <c r="D545" s="28" t="s">
        <v>464</v>
      </c>
      <c r="E545" s="27" t="str">
        <f>A547</f>
        <v>Ref-122</v>
      </c>
      <c r="F545" s="27" t="str">
        <f>A549</f>
        <v>Fn-098</v>
      </c>
      <c r="G545" s="27" t="str">
        <f>A538</f>
        <v>Gs-076</v>
      </c>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t="s">
        <v>1129</v>
      </c>
      <c r="AM545" s="27" t="s">
        <v>1130</v>
      </c>
    </row>
    <row r="546" spans="1:39" ht="58" x14ac:dyDescent="0.35">
      <c r="A546" s="34" t="s">
        <v>1241</v>
      </c>
      <c r="B546" s="28">
        <v>75</v>
      </c>
      <c r="C546" s="27" t="s">
        <v>32</v>
      </c>
      <c r="D546" s="28" t="s">
        <v>465</v>
      </c>
      <c r="E546" s="27" t="str">
        <f>A547</f>
        <v>Ref-122</v>
      </c>
      <c r="F546" s="27" t="str">
        <f>A549</f>
        <v>Fn-098</v>
      </c>
      <c r="G546" s="27" t="str">
        <f>A550</f>
        <v>Gs-079</v>
      </c>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t="s">
        <v>1129</v>
      </c>
      <c r="AM546" s="27" t="s">
        <v>1130</v>
      </c>
    </row>
    <row r="547" spans="1:39" x14ac:dyDescent="0.35">
      <c r="A547" s="34" t="s">
        <v>1242</v>
      </c>
      <c r="B547" s="28">
        <v>75</v>
      </c>
      <c r="C547" s="27" t="s">
        <v>4</v>
      </c>
      <c r="D547" s="27" t="s">
        <v>289</v>
      </c>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row>
    <row r="548" spans="1:39" ht="29" x14ac:dyDescent="0.35">
      <c r="A548" s="34" t="s">
        <v>1243</v>
      </c>
      <c r="B548" s="28">
        <v>75</v>
      </c>
      <c r="C548" s="27" t="s">
        <v>4</v>
      </c>
      <c r="D548" s="27" t="s">
        <v>466</v>
      </c>
      <c r="E548" s="28"/>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t="s">
        <v>1129</v>
      </c>
      <c r="AM548" s="27" t="s">
        <v>1130</v>
      </c>
    </row>
    <row r="549" spans="1:39" x14ac:dyDescent="0.35">
      <c r="A549" s="34" t="s">
        <v>1244</v>
      </c>
      <c r="B549" s="28">
        <v>75</v>
      </c>
      <c r="C549" s="27" t="s">
        <v>79</v>
      </c>
      <c r="D549" s="28" t="s">
        <v>457</v>
      </c>
      <c r="E549" s="28"/>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t="s">
        <v>1129</v>
      </c>
      <c r="AM549" s="27" t="s">
        <v>1130</v>
      </c>
    </row>
    <row r="550" spans="1:39" ht="29" x14ac:dyDescent="0.35">
      <c r="A550" s="34" t="s">
        <v>1245</v>
      </c>
      <c r="B550" s="28">
        <v>75</v>
      </c>
      <c r="C550" s="27" t="s">
        <v>6</v>
      </c>
      <c r="D550" s="27" t="s">
        <v>467</v>
      </c>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t="s">
        <v>1129</v>
      </c>
      <c r="AM550" s="27" t="s">
        <v>1130</v>
      </c>
    </row>
    <row r="551" spans="1:39" ht="43.5" x14ac:dyDescent="0.35">
      <c r="A551" s="34" t="s">
        <v>1246</v>
      </c>
      <c r="B551" s="28">
        <v>75</v>
      </c>
      <c r="C551" s="27" t="s">
        <v>79</v>
      </c>
      <c r="D551" s="27" t="s">
        <v>468</v>
      </c>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t="s">
        <v>1129</v>
      </c>
      <c r="AM551" s="27" t="s">
        <v>1130</v>
      </c>
    </row>
    <row r="552" spans="1:39" ht="145" x14ac:dyDescent="0.35">
      <c r="A552" s="34" t="s">
        <v>1247</v>
      </c>
      <c r="B552" s="28">
        <v>75</v>
      </c>
      <c r="C552" s="27" t="s">
        <v>6</v>
      </c>
      <c r="D552" s="27" t="s">
        <v>469</v>
      </c>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t="s">
        <v>1129</v>
      </c>
      <c r="AM552" s="27" t="s">
        <v>1130</v>
      </c>
    </row>
    <row r="553" spans="1:39" x14ac:dyDescent="0.35">
      <c r="A553" s="34" t="s">
        <v>1248</v>
      </c>
      <c r="B553" s="28">
        <v>75</v>
      </c>
      <c r="C553" s="27" t="s">
        <v>36</v>
      </c>
      <c r="D553" s="28" t="s">
        <v>470</v>
      </c>
      <c r="E553" s="27" t="str">
        <f>A548</f>
        <v>Ref-108</v>
      </c>
      <c r="F553" s="27" t="str">
        <f>A551</f>
        <v>Fn-099</v>
      </c>
      <c r="G553" s="27" t="str">
        <f>A552</f>
        <v>Gs-080</v>
      </c>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t="s">
        <v>1129</v>
      </c>
      <c r="AM553" s="27" t="s">
        <v>1130</v>
      </c>
    </row>
    <row r="554" spans="1:39" x14ac:dyDescent="0.35">
      <c r="A554" s="34" t="s">
        <v>1249</v>
      </c>
      <c r="B554" s="27">
        <v>76</v>
      </c>
      <c r="C554" s="27" t="s">
        <v>32</v>
      </c>
      <c r="D554" s="28" t="s">
        <v>471</v>
      </c>
      <c r="E554" s="27" t="str">
        <f>A557</f>
        <v>Ref-109</v>
      </c>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t="s">
        <v>1129</v>
      </c>
      <c r="AM554" s="27" t="s">
        <v>1130</v>
      </c>
    </row>
    <row r="555" spans="1:39" x14ac:dyDescent="0.35">
      <c r="A555" s="34" t="s">
        <v>1250</v>
      </c>
      <c r="B555" s="27">
        <v>76</v>
      </c>
      <c r="C555" s="27" t="s">
        <v>32</v>
      </c>
      <c r="D555" s="28" t="s">
        <v>472</v>
      </c>
      <c r="E555" s="27" t="str">
        <f>A557</f>
        <v>Ref-109</v>
      </c>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t="s">
        <v>1129</v>
      </c>
      <c r="AM555" s="27" t="s">
        <v>1130</v>
      </c>
    </row>
    <row r="556" spans="1:39" x14ac:dyDescent="0.35">
      <c r="A556" s="34" t="s">
        <v>1251</v>
      </c>
      <c r="B556" s="27">
        <v>76</v>
      </c>
      <c r="C556" s="27" t="s">
        <v>32</v>
      </c>
      <c r="D556" s="28" t="s">
        <v>473</v>
      </c>
      <c r="E556" s="27" t="str">
        <f>A557</f>
        <v>Ref-109</v>
      </c>
      <c r="F556" s="27"/>
      <c r="G556" s="27" t="str">
        <f>A558</f>
        <v>Gs-081</v>
      </c>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t="s">
        <v>1129</v>
      </c>
      <c r="AM556" s="27" t="s">
        <v>1130</v>
      </c>
    </row>
    <row r="557" spans="1:39" ht="29" x14ac:dyDescent="0.35">
      <c r="A557" s="34" t="s">
        <v>1252</v>
      </c>
      <c r="B557" s="27">
        <v>76</v>
      </c>
      <c r="C557" s="27" t="s">
        <v>4</v>
      </c>
      <c r="D557" s="27" t="s">
        <v>474</v>
      </c>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t="s">
        <v>1129</v>
      </c>
      <c r="AM557" s="27" t="s">
        <v>1130</v>
      </c>
    </row>
    <row r="558" spans="1:39" ht="29" x14ac:dyDescent="0.35">
      <c r="A558" s="34" t="s">
        <v>1253</v>
      </c>
      <c r="B558" s="27">
        <v>76</v>
      </c>
      <c r="C558" s="27" t="s">
        <v>6</v>
      </c>
      <c r="D558" s="28" t="s">
        <v>475</v>
      </c>
      <c r="E558" s="28"/>
      <c r="F558" s="28"/>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t="s">
        <v>1129</v>
      </c>
      <c r="AM558" s="27" t="s">
        <v>1130</v>
      </c>
    </row>
    <row r="559" spans="1:39" x14ac:dyDescent="0.35">
      <c r="A559" s="34" t="s">
        <v>1254</v>
      </c>
      <c r="B559" s="27">
        <v>76</v>
      </c>
      <c r="C559" s="27" t="s">
        <v>79</v>
      </c>
      <c r="D559" s="27" t="s">
        <v>476</v>
      </c>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t="s">
        <v>1129</v>
      </c>
      <c r="AM559" s="27" t="s">
        <v>1130</v>
      </c>
    </row>
    <row r="560" spans="1:39" x14ac:dyDescent="0.35">
      <c r="A560" s="34" t="s">
        <v>1255</v>
      </c>
      <c r="B560" s="27">
        <v>76</v>
      </c>
      <c r="C560" s="27" t="s">
        <v>6</v>
      </c>
      <c r="D560" s="35" t="s">
        <v>349</v>
      </c>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t="s">
        <v>1129</v>
      </c>
      <c r="AM560" s="27" t="s">
        <v>1130</v>
      </c>
    </row>
    <row r="561" spans="1:39" x14ac:dyDescent="0.35">
      <c r="A561" s="34" t="s">
        <v>1256</v>
      </c>
      <c r="B561" s="27">
        <v>76</v>
      </c>
      <c r="C561" s="27" t="s">
        <v>36</v>
      </c>
      <c r="D561" s="28" t="s">
        <v>477</v>
      </c>
      <c r="E561" s="28" t="str">
        <f>A557</f>
        <v>Ref-109</v>
      </c>
      <c r="F561" s="28" t="str">
        <f>A559</f>
        <v>Fn-100</v>
      </c>
      <c r="G561" s="27" t="str">
        <f>A560</f>
        <v>Gs-082</v>
      </c>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t="s">
        <v>1129</v>
      </c>
      <c r="AM561" s="27" t="s">
        <v>1130</v>
      </c>
    </row>
    <row r="562" spans="1:39" x14ac:dyDescent="0.35">
      <c r="A562" s="34" t="s">
        <v>1257</v>
      </c>
      <c r="B562" s="27">
        <v>77</v>
      </c>
      <c r="C562" s="27" t="s">
        <v>32</v>
      </c>
      <c r="D562" s="28" t="s">
        <v>478</v>
      </c>
      <c r="E562" s="27" t="str">
        <f>A566</f>
        <v>Ref-121</v>
      </c>
      <c r="F562" s="27"/>
      <c r="G562" s="27" t="str">
        <f>A567</f>
        <v>Gs-097</v>
      </c>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t="s">
        <v>1129</v>
      </c>
      <c r="AM562" s="27" t="s">
        <v>1130</v>
      </c>
    </row>
    <row r="563" spans="1:39" ht="29" x14ac:dyDescent="0.35">
      <c r="A563" s="34" t="s">
        <v>1258</v>
      </c>
      <c r="B563" s="27">
        <v>77</v>
      </c>
      <c r="C563" s="27" t="s">
        <v>32</v>
      </c>
      <c r="D563" s="28" t="s">
        <v>479</v>
      </c>
      <c r="E563" s="27" t="str">
        <f>A566</f>
        <v>Ref-121</v>
      </c>
      <c r="F563" s="27"/>
      <c r="G563" s="27" t="str">
        <f>A568</f>
        <v>Gs-083</v>
      </c>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t="s">
        <v>1129</v>
      </c>
      <c r="AM563" s="27" t="s">
        <v>1130</v>
      </c>
    </row>
    <row r="564" spans="1:39" x14ac:dyDescent="0.35">
      <c r="A564" s="34" t="s">
        <v>1259</v>
      </c>
      <c r="B564" s="27">
        <v>77</v>
      </c>
      <c r="C564" s="27" t="s">
        <v>32</v>
      </c>
      <c r="D564" s="28" t="s">
        <v>480</v>
      </c>
      <c r="E564" s="27" t="str">
        <f>A566</f>
        <v>Ref-121</v>
      </c>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t="s">
        <v>1129</v>
      </c>
      <c r="AM564" s="27" t="s">
        <v>1130</v>
      </c>
    </row>
    <row r="565" spans="1:39" x14ac:dyDescent="0.35">
      <c r="A565" s="34" t="s">
        <v>1260</v>
      </c>
      <c r="B565" s="27">
        <v>77</v>
      </c>
      <c r="C565" s="27" t="s">
        <v>32</v>
      </c>
      <c r="D565" s="28" t="s">
        <v>380</v>
      </c>
      <c r="E565" s="27" t="str">
        <f>A566</f>
        <v>Ref-121</v>
      </c>
      <c r="F565" s="27"/>
      <c r="G565" s="27" t="str">
        <f>A578</f>
        <v>Gs-085</v>
      </c>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t="s">
        <v>1129</v>
      </c>
      <c r="AM565" s="27" t="s">
        <v>1130</v>
      </c>
    </row>
    <row r="566" spans="1:39" x14ac:dyDescent="0.35">
      <c r="A566" s="34" t="s">
        <v>1261</v>
      </c>
      <c r="B566" s="27">
        <v>77</v>
      </c>
      <c r="C566" s="27" t="s">
        <v>4</v>
      </c>
      <c r="D566" s="27" t="s">
        <v>481</v>
      </c>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t="s">
        <v>1129</v>
      </c>
      <c r="AM566" s="27" t="s">
        <v>1130</v>
      </c>
    </row>
    <row r="567" spans="1:39" x14ac:dyDescent="0.35">
      <c r="A567" s="34" t="s">
        <v>1262</v>
      </c>
      <c r="B567" s="27">
        <v>77</v>
      </c>
      <c r="C567" s="27" t="s">
        <v>6</v>
      </c>
      <c r="D567" s="28" t="s">
        <v>1263</v>
      </c>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row>
    <row r="568" spans="1:39" ht="29" x14ac:dyDescent="0.35">
      <c r="A568" s="34" t="s">
        <v>1264</v>
      </c>
      <c r="B568" s="27">
        <v>77</v>
      </c>
      <c r="C568" s="27" t="s">
        <v>6</v>
      </c>
      <c r="D568" s="28" t="s">
        <v>467</v>
      </c>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t="s">
        <v>1129</v>
      </c>
      <c r="AM568" s="27" t="s">
        <v>1130</v>
      </c>
    </row>
    <row r="569" spans="1:39" x14ac:dyDescent="0.35">
      <c r="A569" s="34" t="s">
        <v>1265</v>
      </c>
      <c r="B569" s="27">
        <v>77</v>
      </c>
      <c r="C569" s="27" t="s">
        <v>79</v>
      </c>
      <c r="D569" s="27" t="s">
        <v>482</v>
      </c>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t="s">
        <v>1129</v>
      </c>
      <c r="AM569" s="27" t="s">
        <v>1130</v>
      </c>
    </row>
    <row r="570" spans="1:39" ht="72.5" x14ac:dyDescent="0.35">
      <c r="A570" s="34" t="s">
        <v>1266</v>
      </c>
      <c r="B570" s="27">
        <v>77</v>
      </c>
      <c r="C570" s="27" t="s">
        <v>6</v>
      </c>
      <c r="D570" s="35" t="s">
        <v>483</v>
      </c>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t="s">
        <v>1129</v>
      </c>
      <c r="AM570" s="27" t="s">
        <v>1130</v>
      </c>
    </row>
    <row r="571" spans="1:39" x14ac:dyDescent="0.35">
      <c r="A571" s="34" t="s">
        <v>1267</v>
      </c>
      <c r="B571" s="27">
        <v>77</v>
      </c>
      <c r="C571" s="27" t="s">
        <v>36</v>
      </c>
      <c r="D571" s="27" t="s">
        <v>484</v>
      </c>
      <c r="E571" s="27" t="str">
        <f>A566</f>
        <v>Ref-121</v>
      </c>
      <c r="F571" s="27" t="str">
        <f>A569</f>
        <v>Fn-101</v>
      </c>
      <c r="G571" s="27" t="str">
        <f>A570</f>
        <v>Gs-084</v>
      </c>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t="s">
        <v>1129</v>
      </c>
      <c r="AM571" s="27" t="s">
        <v>1130</v>
      </c>
    </row>
    <row r="572" spans="1:39" x14ac:dyDescent="0.35">
      <c r="A572" s="34" t="s">
        <v>1268</v>
      </c>
      <c r="B572" s="27">
        <v>78</v>
      </c>
      <c r="C572" s="27" t="s">
        <v>32</v>
      </c>
      <c r="D572" s="28" t="s">
        <v>485</v>
      </c>
      <c r="E572" s="27" t="str">
        <f>A576</f>
        <v>Ref-110</v>
      </c>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t="s">
        <v>1129</v>
      </c>
      <c r="AM572" s="27" t="s">
        <v>1130</v>
      </c>
    </row>
    <row r="573" spans="1:39" x14ac:dyDescent="0.35">
      <c r="A573" s="34" t="s">
        <v>1269</v>
      </c>
      <c r="B573" s="27">
        <v>78</v>
      </c>
      <c r="C573" s="27" t="s">
        <v>32</v>
      </c>
      <c r="D573" s="28" t="s">
        <v>486</v>
      </c>
      <c r="E573" s="27" t="str">
        <f>A576</f>
        <v>Ref-110</v>
      </c>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t="s">
        <v>1129</v>
      </c>
      <c r="AM573" s="27" t="s">
        <v>1130</v>
      </c>
    </row>
    <row r="574" spans="1:39" x14ac:dyDescent="0.35">
      <c r="A574" s="34" t="s">
        <v>1270</v>
      </c>
      <c r="B574" s="27">
        <v>78</v>
      </c>
      <c r="C574" s="27" t="s">
        <v>32</v>
      </c>
      <c r="D574" s="28" t="s">
        <v>487</v>
      </c>
      <c r="E574" s="27" t="str">
        <f>A576</f>
        <v>Ref-110</v>
      </c>
      <c r="F574" s="27"/>
      <c r="G574" s="27" t="str">
        <f>A578</f>
        <v>Gs-085</v>
      </c>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t="s">
        <v>1129</v>
      </c>
      <c r="AM574" s="27" t="s">
        <v>1130</v>
      </c>
    </row>
    <row r="575" spans="1:39" x14ac:dyDescent="0.35">
      <c r="A575" s="34" t="s">
        <v>1271</v>
      </c>
      <c r="B575" s="27">
        <v>78</v>
      </c>
      <c r="C575" s="27" t="s">
        <v>32</v>
      </c>
      <c r="D575" s="28" t="s">
        <v>488</v>
      </c>
      <c r="E575" s="27" t="str">
        <f>A576</f>
        <v>Ref-110</v>
      </c>
      <c r="F575" s="27" t="str">
        <f>A577</f>
        <v>Fn-102</v>
      </c>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t="s">
        <v>1129</v>
      </c>
      <c r="AM575" s="27" t="s">
        <v>1130</v>
      </c>
    </row>
    <row r="576" spans="1:39" x14ac:dyDescent="0.35">
      <c r="A576" s="34" t="s">
        <v>1272</v>
      </c>
      <c r="B576" s="27">
        <v>78</v>
      </c>
      <c r="C576" s="27" t="s">
        <v>4</v>
      </c>
      <c r="D576" s="27" t="s">
        <v>489</v>
      </c>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t="s">
        <v>1129</v>
      </c>
      <c r="AM576" s="27" t="s">
        <v>1130</v>
      </c>
    </row>
    <row r="577" spans="1:39" ht="101.5" x14ac:dyDescent="0.35">
      <c r="A577" s="34" t="s">
        <v>1273</v>
      </c>
      <c r="B577" s="27">
        <v>78</v>
      </c>
      <c r="C577" s="27" t="s">
        <v>79</v>
      </c>
      <c r="D577" s="28" t="s">
        <v>490</v>
      </c>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t="s">
        <v>1129</v>
      </c>
      <c r="AM577" s="27" t="s">
        <v>1130</v>
      </c>
    </row>
    <row r="578" spans="1:39" x14ac:dyDescent="0.35">
      <c r="A578" s="34" t="s">
        <v>1274</v>
      </c>
      <c r="B578" s="27">
        <v>78</v>
      </c>
      <c r="C578" s="27" t="s">
        <v>6</v>
      </c>
      <c r="D578" s="28" t="s">
        <v>389</v>
      </c>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t="s">
        <v>1129</v>
      </c>
      <c r="AM578" s="27" t="s">
        <v>1130</v>
      </c>
    </row>
    <row r="579" spans="1:39" x14ac:dyDescent="0.35">
      <c r="A579" s="34" t="s">
        <v>1275</v>
      </c>
      <c r="B579" s="27">
        <v>78</v>
      </c>
      <c r="C579" s="27" t="s">
        <v>79</v>
      </c>
      <c r="D579" s="27" t="s">
        <v>491</v>
      </c>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t="s">
        <v>1129</v>
      </c>
      <c r="AM579" s="27" t="s">
        <v>1130</v>
      </c>
    </row>
    <row r="580" spans="1:39" ht="29" x14ac:dyDescent="0.35">
      <c r="A580" s="34" t="s">
        <v>1276</v>
      </c>
      <c r="B580" s="27">
        <v>78</v>
      </c>
      <c r="C580" s="27" t="s">
        <v>6</v>
      </c>
      <c r="D580" s="27" t="s">
        <v>492</v>
      </c>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t="s">
        <v>1129</v>
      </c>
      <c r="AM580" s="27" t="s">
        <v>1130</v>
      </c>
    </row>
    <row r="581" spans="1:39" x14ac:dyDescent="0.35">
      <c r="A581" s="34" t="s">
        <v>1277</v>
      </c>
      <c r="B581" s="27">
        <v>78</v>
      </c>
      <c r="C581" s="27" t="s">
        <v>36</v>
      </c>
      <c r="D581" s="27" t="s">
        <v>493</v>
      </c>
      <c r="E581" s="27" t="str">
        <f>A576</f>
        <v>Ref-110</v>
      </c>
      <c r="F581" s="27" t="str">
        <f>A579</f>
        <v>Fn-103</v>
      </c>
      <c r="G581" s="27" t="str">
        <f>A580</f>
        <v>Gs-086</v>
      </c>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t="s">
        <v>1129</v>
      </c>
      <c r="AM581" s="27" t="s">
        <v>1130</v>
      </c>
    </row>
    <row r="582" spans="1:39" x14ac:dyDescent="0.35">
      <c r="A582" s="34" t="s">
        <v>1278</v>
      </c>
      <c r="B582" s="27">
        <v>79</v>
      </c>
      <c r="C582" s="27" t="s">
        <v>32</v>
      </c>
      <c r="D582" s="28" t="s">
        <v>494</v>
      </c>
      <c r="E582" s="27" t="str">
        <f>A585</f>
        <v>Ref-111</v>
      </c>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t="s">
        <v>1129</v>
      </c>
      <c r="AM582" s="27" t="s">
        <v>1130</v>
      </c>
    </row>
    <row r="583" spans="1:39" x14ac:dyDescent="0.35">
      <c r="A583" s="34" t="s">
        <v>1279</v>
      </c>
      <c r="B583" s="27">
        <v>79</v>
      </c>
      <c r="C583" s="27" t="s">
        <v>32</v>
      </c>
      <c r="D583" s="28" t="s">
        <v>495</v>
      </c>
      <c r="E583" s="27" t="str">
        <f>A585</f>
        <v>Ref-111</v>
      </c>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t="s">
        <v>1129</v>
      </c>
      <c r="AM583" s="27" t="s">
        <v>1130</v>
      </c>
    </row>
    <row r="584" spans="1:39" x14ac:dyDescent="0.35">
      <c r="A584" s="34" t="s">
        <v>1280</v>
      </c>
      <c r="B584" s="27">
        <v>79</v>
      </c>
      <c r="C584" s="27" t="s">
        <v>32</v>
      </c>
      <c r="D584" s="28" t="s">
        <v>496</v>
      </c>
      <c r="E584" s="27" t="str">
        <f>A585</f>
        <v>Ref-111</v>
      </c>
      <c r="F584" s="27" t="str">
        <f>A586</f>
        <v>Fn-104</v>
      </c>
      <c r="G584" s="27" t="str">
        <f>A587</f>
        <v>Gs-087</v>
      </c>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t="s">
        <v>1129</v>
      </c>
      <c r="AM584" s="27" t="s">
        <v>1130</v>
      </c>
    </row>
    <row r="585" spans="1:39" x14ac:dyDescent="0.35">
      <c r="A585" s="34" t="s">
        <v>1281</v>
      </c>
      <c r="B585" s="27">
        <v>79</v>
      </c>
      <c r="C585" s="27" t="s">
        <v>4</v>
      </c>
      <c r="D585" s="27" t="s">
        <v>497</v>
      </c>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t="s">
        <v>1129</v>
      </c>
      <c r="AM585" s="27" t="s">
        <v>1130</v>
      </c>
    </row>
    <row r="586" spans="1:39" x14ac:dyDescent="0.35">
      <c r="A586" s="34" t="s">
        <v>1282</v>
      </c>
      <c r="B586" s="27">
        <v>79</v>
      </c>
      <c r="C586" s="27" t="s">
        <v>79</v>
      </c>
      <c r="D586" s="27" t="s">
        <v>457</v>
      </c>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t="s">
        <v>1129</v>
      </c>
      <c r="AM586" s="27" t="s">
        <v>1130</v>
      </c>
    </row>
    <row r="587" spans="1:39" x14ac:dyDescent="0.35">
      <c r="A587" s="34" t="s">
        <v>1283</v>
      </c>
      <c r="B587" s="27">
        <v>79</v>
      </c>
      <c r="C587" s="27" t="s">
        <v>6</v>
      </c>
      <c r="D587" s="27" t="s">
        <v>498</v>
      </c>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t="s">
        <v>1129</v>
      </c>
      <c r="AM587" s="27" t="s">
        <v>1130</v>
      </c>
    </row>
    <row r="588" spans="1:39" x14ac:dyDescent="0.35">
      <c r="A588" s="34" t="s">
        <v>1284</v>
      </c>
      <c r="B588" s="27">
        <v>79</v>
      </c>
      <c r="C588" s="27" t="s">
        <v>79</v>
      </c>
      <c r="D588" s="27" t="s">
        <v>499</v>
      </c>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t="s">
        <v>1129</v>
      </c>
      <c r="AM588" s="27" t="s">
        <v>1130</v>
      </c>
    </row>
    <row r="589" spans="1:39" x14ac:dyDescent="0.35">
      <c r="A589" s="34" t="s">
        <v>1285</v>
      </c>
      <c r="B589" s="27">
        <v>79</v>
      </c>
      <c r="C589" s="27" t="s">
        <v>6</v>
      </c>
      <c r="D589" s="35" t="s">
        <v>349</v>
      </c>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t="s">
        <v>1129</v>
      </c>
      <c r="AM589" s="27" t="s">
        <v>1130</v>
      </c>
    </row>
    <row r="590" spans="1:39" x14ac:dyDescent="0.35">
      <c r="A590" s="34" t="s">
        <v>1286</v>
      </c>
      <c r="B590" s="27">
        <v>79</v>
      </c>
      <c r="C590" s="27" t="s">
        <v>36</v>
      </c>
      <c r="D590" s="27" t="s">
        <v>500</v>
      </c>
      <c r="E590" s="27" t="str">
        <f>A585</f>
        <v>Ref-111</v>
      </c>
      <c r="F590" s="27" t="str">
        <f>A588</f>
        <v>Fn-105</v>
      </c>
      <c r="G590" s="27" t="str">
        <f>A589</f>
        <v>Gs-088</v>
      </c>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t="s">
        <v>1129</v>
      </c>
      <c r="AM590" s="27" t="s">
        <v>1130</v>
      </c>
    </row>
    <row r="591" spans="1:39" x14ac:dyDescent="0.35">
      <c r="A591" s="34" t="s">
        <v>1287</v>
      </c>
      <c r="B591" s="27">
        <v>80</v>
      </c>
      <c r="C591" s="27" t="s">
        <v>32</v>
      </c>
      <c r="D591" s="28" t="s">
        <v>501</v>
      </c>
      <c r="E591" s="27" t="str">
        <f>A596</f>
        <v>Ref-112</v>
      </c>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t="s">
        <v>1129</v>
      </c>
      <c r="AM591" s="27" t="s">
        <v>1130</v>
      </c>
    </row>
    <row r="592" spans="1:39" x14ac:dyDescent="0.35">
      <c r="A592" s="34" t="s">
        <v>1288</v>
      </c>
      <c r="B592" s="27">
        <v>80</v>
      </c>
      <c r="C592" s="27" t="s">
        <v>32</v>
      </c>
      <c r="D592" s="28" t="s">
        <v>502</v>
      </c>
      <c r="E592" s="27" t="str">
        <f>A599</f>
        <v>Ref-113</v>
      </c>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t="s">
        <v>1129</v>
      </c>
      <c r="AM592" s="27" t="s">
        <v>1130</v>
      </c>
    </row>
    <row r="593" spans="1:39" ht="29" x14ac:dyDescent="0.35">
      <c r="A593" s="34" t="s">
        <v>1289</v>
      </c>
      <c r="B593" s="27">
        <v>80</v>
      </c>
      <c r="C593" s="27" t="s">
        <v>32</v>
      </c>
      <c r="D593" s="28" t="s">
        <v>503</v>
      </c>
      <c r="E593" s="27" t="str">
        <f>A600</f>
        <v>Ref-114</v>
      </c>
      <c r="F593" s="27"/>
      <c r="G593" s="27" t="str">
        <f>A578</f>
        <v>Gs-085</v>
      </c>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t="s">
        <v>1129</v>
      </c>
      <c r="AM593" s="27" t="s">
        <v>1130</v>
      </c>
    </row>
    <row r="594" spans="1:39" ht="43.5" x14ac:dyDescent="0.35">
      <c r="A594" s="34" t="s">
        <v>1290</v>
      </c>
      <c r="B594" s="27">
        <v>80</v>
      </c>
      <c r="C594" s="27" t="s">
        <v>32</v>
      </c>
      <c r="D594" s="28" t="s">
        <v>504</v>
      </c>
      <c r="E594" s="27" t="str">
        <f>A601</f>
        <v>Ref-115</v>
      </c>
      <c r="F594" s="27"/>
      <c r="G594" s="27" t="str">
        <f>A578</f>
        <v>Gs-085</v>
      </c>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t="s">
        <v>1129</v>
      </c>
      <c r="AM594" s="27" t="s">
        <v>1130</v>
      </c>
    </row>
    <row r="595" spans="1:39" x14ac:dyDescent="0.35">
      <c r="A595" s="34" t="s">
        <v>1291</v>
      </c>
      <c r="B595" s="27">
        <v>80</v>
      </c>
      <c r="C595" s="27" t="s">
        <v>36</v>
      </c>
      <c r="D595" s="27" t="s">
        <v>505</v>
      </c>
      <c r="E595" s="27" t="str">
        <f>A596</f>
        <v>Ref-112</v>
      </c>
      <c r="F595" s="27" t="str">
        <f>A597</f>
        <v>Fn-106</v>
      </c>
      <c r="G595" s="27" t="str">
        <f>A598</f>
        <v>Gs-089</v>
      </c>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t="s">
        <v>1129</v>
      </c>
      <c r="AM595" s="27" t="s">
        <v>1130</v>
      </c>
    </row>
    <row r="596" spans="1:39" ht="43.5" x14ac:dyDescent="0.35">
      <c r="A596" s="34" t="s">
        <v>1292</v>
      </c>
      <c r="B596" s="27">
        <v>80</v>
      </c>
      <c r="C596" s="27" t="s">
        <v>4</v>
      </c>
      <c r="D596" s="27" t="s">
        <v>506</v>
      </c>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t="s">
        <v>1129</v>
      </c>
      <c r="AM596" s="27" t="s">
        <v>1130</v>
      </c>
    </row>
    <row r="597" spans="1:39" x14ac:dyDescent="0.35">
      <c r="A597" s="34" t="s">
        <v>1293</v>
      </c>
      <c r="B597" s="27">
        <v>80</v>
      </c>
      <c r="C597" s="27" t="s">
        <v>79</v>
      </c>
      <c r="D597" s="27" t="s">
        <v>507</v>
      </c>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t="s">
        <v>1129</v>
      </c>
      <c r="AM597" s="27" t="s">
        <v>1130</v>
      </c>
    </row>
    <row r="598" spans="1:39" ht="29" x14ac:dyDescent="0.35">
      <c r="A598" s="34" t="s">
        <v>1294</v>
      </c>
      <c r="B598" s="27">
        <v>80</v>
      </c>
      <c r="C598" s="27" t="s">
        <v>6</v>
      </c>
      <c r="D598" s="35" t="s">
        <v>508</v>
      </c>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t="s">
        <v>1129</v>
      </c>
      <c r="AM598" s="27" t="s">
        <v>1130</v>
      </c>
    </row>
    <row r="599" spans="1:39" x14ac:dyDescent="0.35">
      <c r="A599" s="34" t="s">
        <v>1295</v>
      </c>
      <c r="B599" s="27">
        <v>80</v>
      </c>
      <c r="C599" s="27" t="s">
        <v>4</v>
      </c>
      <c r="D599" s="27" t="s">
        <v>509</v>
      </c>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t="s">
        <v>1129</v>
      </c>
      <c r="AM599" s="27" t="s">
        <v>1130</v>
      </c>
    </row>
    <row r="600" spans="1:39" ht="29" x14ac:dyDescent="0.35">
      <c r="A600" s="34" t="s">
        <v>1296</v>
      </c>
      <c r="B600" s="27">
        <v>80</v>
      </c>
      <c r="C600" s="27" t="s">
        <v>4</v>
      </c>
      <c r="D600" s="27" t="s">
        <v>510</v>
      </c>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t="s">
        <v>1129</v>
      </c>
      <c r="AM600" s="27" t="s">
        <v>1130</v>
      </c>
    </row>
    <row r="601" spans="1:39" ht="29" x14ac:dyDescent="0.35">
      <c r="A601" s="34" t="s">
        <v>1297</v>
      </c>
      <c r="B601" s="27">
        <v>80</v>
      </c>
      <c r="C601" s="27" t="s">
        <v>4</v>
      </c>
      <c r="D601" s="27" t="s">
        <v>511</v>
      </c>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t="s">
        <v>1129</v>
      </c>
      <c r="AM601" s="27" t="s">
        <v>1130</v>
      </c>
    </row>
    <row r="602" spans="1:39" x14ac:dyDescent="0.35">
      <c r="A602" s="34" t="s">
        <v>1298</v>
      </c>
      <c r="B602" s="27">
        <v>81</v>
      </c>
      <c r="C602" s="27" t="s">
        <v>68</v>
      </c>
      <c r="D602" s="28" t="s">
        <v>512</v>
      </c>
      <c r="E602" s="27" t="str">
        <f>A606</f>
        <v>Ref-116</v>
      </c>
      <c r="F602" s="27"/>
      <c r="G602" s="27"/>
      <c r="H602" s="27"/>
      <c r="I602" s="27"/>
      <c r="J602" s="27"/>
      <c r="K602" s="27"/>
      <c r="L602" s="27"/>
      <c r="M602" s="27"/>
      <c r="N602" s="27"/>
      <c r="O602" s="27"/>
      <c r="P602" s="27"/>
      <c r="Q602" s="27"/>
      <c r="R602" s="27"/>
      <c r="S602" s="27"/>
      <c r="T602" s="27"/>
      <c r="U602" s="27"/>
      <c r="V602" s="27"/>
      <c r="W602" s="27"/>
      <c r="X602" s="27"/>
      <c r="Y602" s="27"/>
      <c r="Z602" s="27"/>
      <c r="AA602" s="27"/>
      <c r="AB602" s="27" t="str">
        <f>A603</f>
        <v>Comp-080</v>
      </c>
      <c r="AC602" s="27" t="s">
        <v>65</v>
      </c>
      <c r="AD602" s="27" t="str">
        <f>A604</f>
        <v>Comp-081</v>
      </c>
      <c r="AE602" s="27" t="s">
        <v>65</v>
      </c>
      <c r="AF602" s="27" t="str">
        <f>A605</f>
        <v>Comp-082</v>
      </c>
      <c r="AG602" s="27" t="s">
        <v>65</v>
      </c>
      <c r="AH602" s="27"/>
      <c r="AI602" s="27"/>
      <c r="AJ602" s="27"/>
      <c r="AK602" s="27"/>
      <c r="AL602" s="27" t="s">
        <v>1299</v>
      </c>
      <c r="AM602" s="27" t="s">
        <v>1300</v>
      </c>
    </row>
    <row r="603" spans="1:39" x14ac:dyDescent="0.35">
      <c r="A603" s="34" t="s">
        <v>1301</v>
      </c>
      <c r="B603" s="27">
        <v>81</v>
      </c>
      <c r="C603" s="27" t="s">
        <v>36</v>
      </c>
      <c r="D603" s="27" t="s">
        <v>513</v>
      </c>
      <c r="E603" s="27" t="str">
        <f>A607</f>
        <v>Ref-117</v>
      </c>
      <c r="F603" s="27" t="str">
        <f>A610</f>
        <v>Fn-107</v>
      </c>
      <c r="G603" s="27" t="str">
        <f>A613</f>
        <v>Gs-090</v>
      </c>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t="s">
        <v>1299</v>
      </c>
      <c r="AM603" s="27" t="s">
        <v>1300</v>
      </c>
    </row>
    <row r="604" spans="1:39" x14ac:dyDescent="0.35">
      <c r="A604" s="34" t="s">
        <v>1302</v>
      </c>
      <c r="B604" s="27">
        <v>82</v>
      </c>
      <c r="C604" s="27" t="s">
        <v>36</v>
      </c>
      <c r="D604" s="27" t="s">
        <v>514</v>
      </c>
      <c r="E604" s="27" t="str">
        <f>A608</f>
        <v>Ref-118</v>
      </c>
      <c r="F604" s="27" t="str">
        <f>A611</f>
        <v>Fn-108</v>
      </c>
      <c r="G604" s="27" t="str">
        <f>A614</f>
        <v>Gs-091</v>
      </c>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t="s">
        <v>1299</v>
      </c>
      <c r="AM604" s="27" t="s">
        <v>1300</v>
      </c>
    </row>
    <row r="605" spans="1:39" x14ac:dyDescent="0.35">
      <c r="A605" s="34" t="s">
        <v>1303</v>
      </c>
      <c r="B605" s="27">
        <v>83</v>
      </c>
      <c r="C605" s="27" t="s">
        <v>36</v>
      </c>
      <c r="D605" s="27" t="s">
        <v>515</v>
      </c>
      <c r="E605" s="27" t="str">
        <f>A609</f>
        <v>Ref-119</v>
      </c>
      <c r="F605" s="27" t="str">
        <f>A612</f>
        <v>Fn-109</v>
      </c>
      <c r="G605" s="27" t="str">
        <f>A615</f>
        <v>Gs-092</v>
      </c>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t="s">
        <v>1299</v>
      </c>
      <c r="AM605" s="27" t="s">
        <v>1300</v>
      </c>
    </row>
    <row r="606" spans="1:39" ht="101.5" x14ac:dyDescent="0.35">
      <c r="A606" s="34" t="s">
        <v>1304</v>
      </c>
      <c r="B606" s="27">
        <v>81</v>
      </c>
      <c r="C606" s="27" t="s">
        <v>4</v>
      </c>
      <c r="D606" s="27" t="s">
        <v>516</v>
      </c>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t="s">
        <v>1299</v>
      </c>
      <c r="AM606" s="27" t="s">
        <v>1300</v>
      </c>
    </row>
    <row r="607" spans="1:39" ht="29" x14ac:dyDescent="0.35">
      <c r="A607" s="34" t="s">
        <v>1305</v>
      </c>
      <c r="B607" s="27">
        <v>81</v>
      </c>
      <c r="C607" s="27" t="s">
        <v>4</v>
      </c>
      <c r="D607" s="27" t="s">
        <v>517</v>
      </c>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t="s">
        <v>1299</v>
      </c>
      <c r="AM607" s="27" t="s">
        <v>1300</v>
      </c>
    </row>
    <row r="608" spans="1:39" ht="58" x14ac:dyDescent="0.35">
      <c r="A608" s="34" t="s">
        <v>1306</v>
      </c>
      <c r="B608" s="27">
        <v>81</v>
      </c>
      <c r="C608" s="27" t="s">
        <v>4</v>
      </c>
      <c r="D608" s="27" t="s">
        <v>518</v>
      </c>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t="s">
        <v>1299</v>
      </c>
      <c r="AM608" s="27" t="s">
        <v>1300</v>
      </c>
    </row>
    <row r="609" spans="1:39" x14ac:dyDescent="0.35">
      <c r="A609" s="34" t="s">
        <v>1307</v>
      </c>
      <c r="B609" s="27">
        <v>81</v>
      </c>
      <c r="C609" s="27" t="s">
        <v>4</v>
      </c>
      <c r="D609" s="27" t="s">
        <v>519</v>
      </c>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t="s">
        <v>1299</v>
      </c>
      <c r="AM609" s="27" t="s">
        <v>1300</v>
      </c>
    </row>
    <row r="610" spans="1:39" x14ac:dyDescent="0.35">
      <c r="A610" s="34" t="s">
        <v>1308</v>
      </c>
      <c r="B610" s="27">
        <v>81</v>
      </c>
      <c r="C610" s="27" t="s">
        <v>79</v>
      </c>
      <c r="D610" s="27" t="s">
        <v>520</v>
      </c>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t="s">
        <v>1299</v>
      </c>
      <c r="AM610" s="27" t="s">
        <v>1300</v>
      </c>
    </row>
    <row r="611" spans="1:39" ht="145" x14ac:dyDescent="0.35">
      <c r="A611" s="34" t="s">
        <v>1309</v>
      </c>
      <c r="B611" s="27">
        <v>82</v>
      </c>
      <c r="C611" s="27" t="s">
        <v>79</v>
      </c>
      <c r="D611" s="27" t="s">
        <v>521</v>
      </c>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t="s">
        <v>1299</v>
      </c>
      <c r="AM611" s="27" t="s">
        <v>1300</v>
      </c>
    </row>
    <row r="612" spans="1:39" x14ac:dyDescent="0.35">
      <c r="A612" s="34" t="s">
        <v>1310</v>
      </c>
      <c r="B612" s="27">
        <v>83</v>
      </c>
      <c r="C612" s="27" t="s">
        <v>79</v>
      </c>
      <c r="D612" s="39" t="s">
        <v>522</v>
      </c>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t="s">
        <v>1299</v>
      </c>
      <c r="AM612" s="27" t="s">
        <v>1300</v>
      </c>
    </row>
    <row r="613" spans="1:39" ht="409.5" x14ac:dyDescent="0.35">
      <c r="A613" s="34" t="s">
        <v>1311</v>
      </c>
      <c r="B613" s="27">
        <v>81</v>
      </c>
      <c r="C613" s="27" t="s">
        <v>6</v>
      </c>
      <c r="D613" s="27" t="s">
        <v>523</v>
      </c>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t="s">
        <v>1299</v>
      </c>
      <c r="AM613" s="27" t="s">
        <v>1300</v>
      </c>
    </row>
    <row r="614" spans="1:39" ht="319" x14ac:dyDescent="0.35">
      <c r="A614" s="34" t="s">
        <v>1312</v>
      </c>
      <c r="B614" s="27">
        <v>81</v>
      </c>
      <c r="C614" s="27" t="s">
        <v>6</v>
      </c>
      <c r="D614" s="27" t="s">
        <v>524</v>
      </c>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t="s">
        <v>1299</v>
      </c>
      <c r="AM614" s="27" t="s">
        <v>1300</v>
      </c>
    </row>
    <row r="615" spans="1:39" ht="232" x14ac:dyDescent="0.35">
      <c r="A615" s="34" t="s">
        <v>1313</v>
      </c>
      <c r="B615" s="27">
        <v>81</v>
      </c>
      <c r="C615" s="27" t="s">
        <v>6</v>
      </c>
      <c r="D615" s="27" t="s">
        <v>525</v>
      </c>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t="s">
        <v>1299</v>
      </c>
      <c r="AM615" s="27" t="s">
        <v>1300</v>
      </c>
    </row>
  </sheetData>
  <autoFilter ref="A1:AM615" xr:uid="{72ADCC2B-C3FF-4559-9989-A11F71D2FD2A}"/>
  <phoneticPr fontId="3" type="noConversion"/>
  <conditionalFormatting sqref="A1:A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6db3b2f-e1ab-4b6c-addb-c4d04927b52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3F3857B6A57B4B9BAD7E7B5E34C2EC" ma:contentTypeVersion="9" ma:contentTypeDescription="Create a new document." ma:contentTypeScope="" ma:versionID="0dae6fd538c9d889e36ee79fad4ded90">
  <xsd:schema xmlns:xsd="http://www.w3.org/2001/XMLSchema" xmlns:xs="http://www.w3.org/2001/XMLSchema" xmlns:p="http://schemas.microsoft.com/office/2006/metadata/properties" xmlns:ns3="26db3b2f-e1ab-4b6c-addb-c4d04927b526" targetNamespace="http://schemas.microsoft.com/office/2006/metadata/properties" ma:root="true" ma:fieldsID="498877468f198fd511444bfd2df83c93" ns3:_="">
    <xsd:import namespace="26db3b2f-e1ab-4b6c-addb-c4d04927b52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db3b2f-e1ab-4b6c-addb-c4d04927b52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B4D4BC-003C-4EF7-9DBF-6EAD451610BA}">
  <ds:schemaRefs>
    <ds:schemaRef ds:uri="http://schemas.microsoft.com/office/2006/metadata/properties"/>
    <ds:schemaRef ds:uri="http://schemas.microsoft.com/office/infopath/2007/PartnerControls"/>
    <ds:schemaRef ds:uri="26db3b2f-e1ab-4b6c-addb-c4d04927b526"/>
  </ds:schemaRefs>
</ds:datastoreItem>
</file>

<file path=customXml/itemProps2.xml><?xml version="1.0" encoding="utf-8"?>
<ds:datastoreItem xmlns:ds="http://schemas.openxmlformats.org/officeDocument/2006/customXml" ds:itemID="{01D9E9B7-E548-4A5C-A9F7-F3DE848891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db3b2f-e1ab-4b6c-addb-c4d04927b5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3EB5B1-30F4-4CDE-A5E7-3EF5CFB36C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 Sheet</vt:lpstr>
      <vt:lpstr>Semantic Mesh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Sumit Tawani</dc:creator>
  <cp:keywords/>
  <dc:description/>
  <cp:lastModifiedBy>Abhishek J</cp:lastModifiedBy>
  <cp:revision/>
  <dcterms:created xsi:type="dcterms:W3CDTF">2026-02-27T17:08:33Z</dcterms:created>
  <dcterms:modified xsi:type="dcterms:W3CDTF">2026-03-12T06:23:21Z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0x010100B83F3857B6A57B4B9BAD7E7B5E34C2EC</vt:lpwstr>
  </property>
</Properties>
</file>